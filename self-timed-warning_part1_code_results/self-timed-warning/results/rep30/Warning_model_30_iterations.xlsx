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Example iteration 1" sheetId="2" state="visible" r:id="rId4"/>
    <sheet name="All tes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<sst xmlns="http://schemas.openxmlformats.org/spreadsheetml/2006/main" count="46" uniqueCount="44">
  <si>
    <t xml:space="preserve">Warning model, 30 random iterations of a 50-engine test (PHM08)</t>
  </si>
  <si>
    <t xml:space="preserve">A: 50 engines drawn at random as the test set; B: the other 168 engines train the model (settings tuned on the 168 only).</t>
  </si>
  <si>
    <t xml:space="preserve">C: actual life; D: predicted life = warning cycle + predicted cycles left; E = D - C. Correct when -13 &lt;= E &lt;= +2.</t>
  </si>
  <si>
    <t xml:space="preserve">The warning is issued when the model predicts about 20 cycles left (5 cycles in a row). Repeated 30 times with new random test sets (iterations 1-20 are identical to the earlier 20-repetition run).</t>
  </si>
  <si>
    <t xml:space="preserve">Iteration</t>
  </si>
  <si>
    <t xml:space="preserve">In window (of 50)</t>
  </si>
  <si>
    <t xml:space="preserve">Late</t>
  </si>
  <si>
    <t xml:space="preserve">Early</t>
  </si>
  <si>
    <t xml:space="preserve">Missed</t>
  </si>
  <si>
    <t xml:space="preserve">Accuracy (% in window)</t>
  </si>
  <si>
    <t xml:space="preserve">Meets 48-of-50?</t>
  </si>
  <si>
    <t xml:space="preserve">Mean true cycles left at warning</t>
  </si>
  <si>
    <t xml:space="preserve">Across all 30 iterations</t>
  </si>
  <si>
    <t xml:space="preserve">Value</t>
  </si>
  <si>
    <t xml:space="preserve">Average engines in window (of 50)</t>
  </si>
  <si>
    <t xml:space="preserve">Average accuracy (% in window)</t>
  </si>
  <si>
    <t xml:space="preserve">Standard deviation of accuracy</t>
  </si>
  <si>
    <t xml:space="preserve">Standard deviation (engines)</t>
  </si>
  <si>
    <t xml:space="preserve">Worst repetition (engines in window)</t>
  </si>
  <si>
    <t xml:space="preserve">Best repetition (engines in window)</t>
  </si>
  <si>
    <t xml:space="preserve">Repetitions meeting 48 of 50</t>
  </si>
  <si>
    <t xml:space="preserve">Repetitions with at least 46 of 50</t>
  </si>
  <si>
    <t xml:space="preserve">Average late + missed per 50</t>
  </si>
  <si>
    <t xml:space="preserve">Average too early per 50</t>
  </si>
  <si>
    <t xml:space="preserve">Mean of the 30 per-iteration mean cycles left at warning</t>
  </si>
  <si>
    <t xml:space="preserve">Mean cycles left at warning, all engine tests</t>
  </si>
  <si>
    <t xml:space="preserve">Median error E (all tests, cycles)</t>
  </si>
  <si>
    <t xml:space="preserve">Each engine appears in several test sets across repetitions; repetitions are not independent.</t>
  </si>
  <si>
    <t xml:space="preserve">Iteration 1: the 50 test engines (supervisor layout C, D, E)</t>
  </si>
  <si>
    <t xml:space="preserve">No.</t>
  </si>
  <si>
    <t xml:space="preserve">Engine</t>
  </si>
  <si>
    <t xml:space="preserve">C: actual life</t>
  </si>
  <si>
    <t xml:space="preserve">D: predicted life</t>
  </si>
  <si>
    <t xml:space="preserve">E = D - C</t>
  </si>
  <si>
    <t xml:space="preserve">Result</t>
  </si>
  <si>
    <t xml:space="preserve">In window:</t>
  </si>
  <si>
    <t xml:space="preserve">of 50</t>
  </si>
  <si>
    <t xml:space="preserve">Repetition</t>
  </si>
  <si>
    <t xml:space="preserve">C: actual life (cycles)</t>
  </si>
  <si>
    <t xml:space="preserve">Warning issued at cycle</t>
  </si>
  <si>
    <t xml:space="preserve">Predicted cycles left at warning</t>
  </si>
  <si>
    <t xml:space="preserve">D: predicted life (cycles)</t>
  </si>
  <si>
    <t xml:space="preserve">E = D - C (cycles)</t>
  </si>
  <si>
    <t xml:space="preserve">True cycles left at warning (C - warning cycle)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</si>
</sst>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"/>
    <numFmt numFmtId="167" formatCode="0"/>
    <numFmt numFmtId="168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BE3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BE3E1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Accuracy per iteration (50 test engines each)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Summary!F6</c:f>
              <c:strCache>
                <c:ptCount val="1"/>
                <c:pt idx="0">
                  <c:v>Accuracy (% in window)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Summary!$A$7:$A$36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Summary!$F$7:$F$36</c:f>
              <c:numCache>
                <c:formatCode>0.0%</c:formatCode>
                <c:ptCount val="30"/>
                <c:pt idx="0">
                  <c:v>0.94</c:v>
                </c:pt>
                <c:pt idx="1">
                  <c:v>0.92</c:v>
                </c:pt>
                <c:pt idx="2">
                  <c:v>0.92</c:v>
                </c:pt>
                <c:pt idx="3">
                  <c:v>0.94</c:v>
                </c:pt>
                <c:pt idx="4">
                  <c:v>0.94</c:v>
                </c:pt>
                <c:pt idx="5">
                  <c:v>0.96</c:v>
                </c:pt>
                <c:pt idx="6">
                  <c:v>0.9</c:v>
                </c:pt>
                <c:pt idx="7">
                  <c:v>0.84</c:v>
                </c:pt>
                <c:pt idx="8">
                  <c:v>0.92</c:v>
                </c:pt>
                <c:pt idx="9">
                  <c:v>0.94</c:v>
                </c:pt>
                <c:pt idx="10">
                  <c:v>0.94</c:v>
                </c:pt>
                <c:pt idx="11">
                  <c:v>0.92</c:v>
                </c:pt>
                <c:pt idx="12">
                  <c:v>0.92</c:v>
                </c:pt>
                <c:pt idx="13">
                  <c:v>0.92</c:v>
                </c:pt>
                <c:pt idx="14">
                  <c:v>0.94</c:v>
                </c:pt>
                <c:pt idx="15">
                  <c:v>0.96</c:v>
                </c:pt>
                <c:pt idx="16">
                  <c:v>0.9</c:v>
                </c:pt>
                <c:pt idx="17">
                  <c:v>0.9</c:v>
                </c:pt>
                <c:pt idx="18">
                  <c:v>0.96</c:v>
                </c:pt>
                <c:pt idx="19">
                  <c:v>0.88</c:v>
                </c:pt>
                <c:pt idx="20">
                  <c:v>0.94</c:v>
                </c:pt>
                <c:pt idx="21">
                  <c:v>0.9</c:v>
                </c:pt>
                <c:pt idx="22">
                  <c:v>0.92</c:v>
                </c:pt>
                <c:pt idx="23">
                  <c:v>0.84</c:v>
                </c:pt>
                <c:pt idx="24">
                  <c:v>0.98</c:v>
                </c:pt>
                <c:pt idx="25">
                  <c:v>0.88</c:v>
                </c:pt>
                <c:pt idx="26">
                  <c:v>0.94</c:v>
                </c:pt>
                <c:pt idx="27">
                  <c:v>0.88</c:v>
                </c:pt>
                <c:pt idx="28">
                  <c:v>0.9</c:v>
                </c:pt>
                <c:pt idx="29">
                  <c:v>0.9</c:v>
                </c:pt>
              </c:numCache>
            </c:numRef>
          </c:val>
        </c:ser>
        <c:gapWidth val="150"/>
        <c:overlap val="0"/>
        <c:axId val="90033106"/>
        <c:axId val="50232645"/>
      </c:barChart>
      <c:catAx>
        <c:axId val="900331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Iteration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232645"/>
        <c:crosses val="autoZero"/>
        <c:auto val="1"/>
        <c:lblAlgn val="ctr"/>
        <c:lblOffset val="100"/>
        <c:noMultiLvlLbl val="0"/>
      </c:catAx>
      <c:valAx>
        <c:axId val="50232645"/>
        <c:scaling>
          <c:orientation val="minMax"/>
          <c:max val="1"/>
          <c:min val="0.7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in window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0331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160560</xdr:rowOff>
    </xdr:from>
    <xdr:to>
      <xdr:col>19</xdr:col>
      <xdr:colOff>364680</xdr:colOff>
      <xdr:row>19</xdr:row>
      <xdr:rowOff>32400</xdr:rowOff>
    </xdr:to>
    <xdr:graphicFrame>
      <xdr:nvGraphicFramePr>
        <xdr:cNvPr id="0" name="Chart 1"/>
        <xdr:cNvGraphicFramePr/>
      </xdr:nvGraphicFramePr>
      <xdr:xfrm>
        <a:off x="9633600" y="952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5" min="3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26.85" hidden="false" customHeight="false" outlineLevel="0" collapsed="false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</row>
    <row r="7" customFormat="false" ht="15" hidden="false" customHeight="false" outlineLevel="0" collapsed="false">
      <c r="A7" s="4" t="n">
        <v>1</v>
      </c>
      <c r="B7" s="4" t="n">
        <f aca="false">COUNTIFS('All tests'!$A$2:$A$1501,A7,'All tests'!$H$2:$H$1501,"IN")</f>
        <v>47</v>
      </c>
      <c r="C7" s="4" t="n">
        <f aca="false">COUNTIFS('All tests'!$A$2:$A$1501,A7,'All tests'!$H$2:$H$1501,"LATE")</f>
        <v>1</v>
      </c>
      <c r="D7" s="4" t="n">
        <f aca="false">COUNTIFS('All tests'!$A$2:$A$1501,A7,'All tests'!$H$2:$H$1501,"EARLY")</f>
        <v>2</v>
      </c>
      <c r="E7" s="4" t="n">
        <f aca="false">COUNTIFS('All tests'!$A$2:$A$1501,A7,'All tests'!$H$2:$H$1501,"MISSED")</f>
        <v>0</v>
      </c>
      <c r="F7" s="5" t="n">
        <f aca="false">B7/50</f>
        <v>0.94</v>
      </c>
      <c r="G7" s="4" t="str">
        <f aca="false">IF(B7&gt;=48,"Yes","No")</f>
        <v>No</v>
      </c>
      <c r="H7" s="6" t="n">
        <f aca="false">AVERAGEIFS('All tests'!$I$2:$I$1501,'All tests'!$A$2:$A$1501,A7)</f>
        <v>19.12</v>
      </c>
    </row>
    <row r="8" customFormat="false" ht="15" hidden="false" customHeight="false" outlineLevel="0" collapsed="false">
      <c r="A8" s="4" t="n">
        <v>2</v>
      </c>
      <c r="B8" s="4" t="n">
        <f aca="false">COUNTIFS('All tests'!$A$2:$A$1501,A8,'All tests'!$H$2:$H$1501,"IN")</f>
        <v>46</v>
      </c>
      <c r="C8" s="4" t="n">
        <f aca="false">COUNTIFS('All tests'!$A$2:$A$1501,A8,'All tests'!$H$2:$H$1501,"LATE")</f>
        <v>1</v>
      </c>
      <c r="D8" s="4" t="n">
        <f aca="false">COUNTIFS('All tests'!$A$2:$A$1501,A8,'All tests'!$H$2:$H$1501,"EARLY")</f>
        <v>3</v>
      </c>
      <c r="E8" s="4" t="n">
        <f aca="false">COUNTIFS('All tests'!$A$2:$A$1501,A8,'All tests'!$H$2:$H$1501,"MISSED")</f>
        <v>0</v>
      </c>
      <c r="F8" s="5" t="n">
        <f aca="false">B8/50</f>
        <v>0.92</v>
      </c>
      <c r="G8" s="4" t="str">
        <f aca="false">IF(B8&gt;=48,"Yes","No")</f>
        <v>No</v>
      </c>
      <c r="H8" s="6" t="n">
        <f aca="false">AVERAGEIFS('All tests'!$I$2:$I$1501,'All tests'!$A$2:$A$1501,A8)</f>
        <v>20.14</v>
      </c>
    </row>
    <row r="9" customFormat="false" ht="15" hidden="false" customHeight="false" outlineLevel="0" collapsed="false">
      <c r="A9" s="4" t="n">
        <v>3</v>
      </c>
      <c r="B9" s="4" t="n">
        <f aca="false">COUNTIFS('All tests'!$A$2:$A$1501,A9,'All tests'!$H$2:$H$1501,"IN")</f>
        <v>46</v>
      </c>
      <c r="C9" s="4" t="n">
        <f aca="false">COUNTIFS('All tests'!$A$2:$A$1501,A9,'All tests'!$H$2:$H$1501,"LATE")</f>
        <v>2</v>
      </c>
      <c r="D9" s="4" t="n">
        <f aca="false">COUNTIFS('All tests'!$A$2:$A$1501,A9,'All tests'!$H$2:$H$1501,"EARLY")</f>
        <v>2</v>
      </c>
      <c r="E9" s="4" t="n">
        <f aca="false">COUNTIFS('All tests'!$A$2:$A$1501,A9,'All tests'!$H$2:$H$1501,"MISSED")</f>
        <v>0</v>
      </c>
      <c r="F9" s="5" t="n">
        <f aca="false">B9/50</f>
        <v>0.92</v>
      </c>
      <c r="G9" s="4" t="str">
        <f aca="false">IF(B9&gt;=48,"Yes","No")</f>
        <v>No</v>
      </c>
      <c r="H9" s="6" t="n">
        <f aca="false">AVERAGEIFS('All tests'!$I$2:$I$1501,'All tests'!$A$2:$A$1501,A9)</f>
        <v>19.36</v>
      </c>
    </row>
    <row r="10" customFormat="false" ht="15" hidden="false" customHeight="false" outlineLevel="0" collapsed="false">
      <c r="A10" s="4" t="n">
        <v>4</v>
      </c>
      <c r="B10" s="4" t="n">
        <f aca="false">COUNTIFS('All tests'!$A$2:$A$1501,A10,'All tests'!$H$2:$H$1501,"IN")</f>
        <v>47</v>
      </c>
      <c r="C10" s="4" t="n">
        <f aca="false">COUNTIFS('All tests'!$A$2:$A$1501,A10,'All tests'!$H$2:$H$1501,"LATE")</f>
        <v>1</v>
      </c>
      <c r="D10" s="4" t="n">
        <f aca="false">COUNTIFS('All tests'!$A$2:$A$1501,A10,'All tests'!$H$2:$H$1501,"EARLY")</f>
        <v>2</v>
      </c>
      <c r="E10" s="4" t="n">
        <f aca="false">COUNTIFS('All tests'!$A$2:$A$1501,A10,'All tests'!$H$2:$H$1501,"MISSED")</f>
        <v>0</v>
      </c>
      <c r="F10" s="5" t="n">
        <f aca="false">B10/50</f>
        <v>0.94</v>
      </c>
      <c r="G10" s="4" t="str">
        <f aca="false">IF(B10&gt;=48,"Yes","No")</f>
        <v>No</v>
      </c>
      <c r="H10" s="6" t="n">
        <f aca="false">AVERAGEIFS('All tests'!$I$2:$I$1501,'All tests'!$A$2:$A$1501,A10)</f>
        <v>19.08</v>
      </c>
    </row>
    <row r="11" customFormat="false" ht="15" hidden="false" customHeight="false" outlineLevel="0" collapsed="false">
      <c r="A11" s="4" t="n">
        <v>5</v>
      </c>
      <c r="B11" s="4" t="n">
        <f aca="false">COUNTIFS('All tests'!$A$2:$A$1501,A11,'All tests'!$H$2:$H$1501,"IN")</f>
        <v>47</v>
      </c>
      <c r="C11" s="4" t="n">
        <f aca="false">COUNTIFS('All tests'!$A$2:$A$1501,A11,'All tests'!$H$2:$H$1501,"LATE")</f>
        <v>2</v>
      </c>
      <c r="D11" s="4" t="n">
        <f aca="false">COUNTIFS('All tests'!$A$2:$A$1501,A11,'All tests'!$H$2:$H$1501,"EARLY")</f>
        <v>1</v>
      </c>
      <c r="E11" s="4" t="n">
        <f aca="false">COUNTIFS('All tests'!$A$2:$A$1501,A11,'All tests'!$H$2:$H$1501,"MISSED")</f>
        <v>0</v>
      </c>
      <c r="F11" s="5" t="n">
        <f aca="false">B11/50</f>
        <v>0.94</v>
      </c>
      <c r="G11" s="4" t="str">
        <f aca="false">IF(B11&gt;=48,"Yes","No")</f>
        <v>No</v>
      </c>
      <c r="H11" s="6" t="n">
        <f aca="false">AVERAGEIFS('All tests'!$I$2:$I$1501,'All tests'!$A$2:$A$1501,A11)</f>
        <v>19.4</v>
      </c>
    </row>
    <row r="12" customFormat="false" ht="15" hidden="false" customHeight="false" outlineLevel="0" collapsed="false">
      <c r="A12" s="4" t="n">
        <v>6</v>
      </c>
      <c r="B12" s="4" t="n">
        <f aca="false">COUNTIFS('All tests'!$A$2:$A$1501,A12,'All tests'!$H$2:$H$1501,"IN")</f>
        <v>48</v>
      </c>
      <c r="C12" s="4" t="n">
        <f aca="false">COUNTIFS('All tests'!$A$2:$A$1501,A12,'All tests'!$H$2:$H$1501,"LATE")</f>
        <v>2</v>
      </c>
      <c r="D12" s="4" t="n">
        <f aca="false">COUNTIFS('All tests'!$A$2:$A$1501,A12,'All tests'!$H$2:$H$1501,"EARLY")</f>
        <v>0</v>
      </c>
      <c r="E12" s="4" t="n">
        <f aca="false">COUNTIFS('All tests'!$A$2:$A$1501,A12,'All tests'!$H$2:$H$1501,"MISSED")</f>
        <v>0</v>
      </c>
      <c r="F12" s="5" t="n">
        <f aca="false">B12/50</f>
        <v>0.96</v>
      </c>
      <c r="G12" s="4" t="str">
        <f aca="false">IF(B12&gt;=48,"Yes","No")</f>
        <v>Yes</v>
      </c>
      <c r="H12" s="6" t="n">
        <f aca="false">AVERAGEIFS('All tests'!$I$2:$I$1501,'All tests'!$A$2:$A$1501,A12)</f>
        <v>18.94</v>
      </c>
    </row>
    <row r="13" customFormat="false" ht="15" hidden="false" customHeight="false" outlineLevel="0" collapsed="false">
      <c r="A13" s="4" t="n">
        <v>7</v>
      </c>
      <c r="B13" s="4" t="n">
        <f aca="false">COUNTIFS('All tests'!$A$2:$A$1501,A13,'All tests'!$H$2:$H$1501,"IN")</f>
        <v>45</v>
      </c>
      <c r="C13" s="4" t="n">
        <f aca="false">COUNTIFS('All tests'!$A$2:$A$1501,A13,'All tests'!$H$2:$H$1501,"LATE")</f>
        <v>3</v>
      </c>
      <c r="D13" s="4" t="n">
        <f aca="false">COUNTIFS('All tests'!$A$2:$A$1501,A13,'All tests'!$H$2:$H$1501,"EARLY")</f>
        <v>2</v>
      </c>
      <c r="E13" s="4" t="n">
        <f aca="false">COUNTIFS('All tests'!$A$2:$A$1501,A13,'All tests'!$H$2:$H$1501,"MISSED")</f>
        <v>0</v>
      </c>
      <c r="F13" s="5" t="n">
        <f aca="false">B13/50</f>
        <v>0.9</v>
      </c>
      <c r="G13" s="4" t="str">
        <f aca="false">IF(B13&gt;=48,"Yes","No")</f>
        <v>No</v>
      </c>
      <c r="H13" s="6" t="n">
        <f aca="false">AVERAGEIFS('All tests'!$I$2:$I$1501,'All tests'!$A$2:$A$1501,A13)</f>
        <v>21.04</v>
      </c>
    </row>
    <row r="14" customFormat="false" ht="15" hidden="false" customHeight="false" outlineLevel="0" collapsed="false">
      <c r="A14" s="4" t="n">
        <v>8</v>
      </c>
      <c r="B14" s="4" t="n">
        <f aca="false">COUNTIFS('All tests'!$A$2:$A$1501,A14,'All tests'!$H$2:$H$1501,"IN")</f>
        <v>42</v>
      </c>
      <c r="C14" s="4" t="n">
        <f aca="false">COUNTIFS('All tests'!$A$2:$A$1501,A14,'All tests'!$H$2:$H$1501,"LATE")</f>
        <v>3</v>
      </c>
      <c r="D14" s="4" t="n">
        <f aca="false">COUNTIFS('All tests'!$A$2:$A$1501,A14,'All tests'!$H$2:$H$1501,"EARLY")</f>
        <v>5</v>
      </c>
      <c r="E14" s="4" t="n">
        <f aca="false">COUNTIFS('All tests'!$A$2:$A$1501,A14,'All tests'!$H$2:$H$1501,"MISSED")</f>
        <v>0</v>
      </c>
      <c r="F14" s="5" t="n">
        <f aca="false">B14/50</f>
        <v>0.84</v>
      </c>
      <c r="G14" s="4" t="str">
        <f aca="false">IF(B14&gt;=48,"Yes","No")</f>
        <v>No</v>
      </c>
      <c r="H14" s="6" t="n">
        <f aca="false">AVERAGEIFS('All tests'!$I$2:$I$1501,'All tests'!$A$2:$A$1501,A14)</f>
        <v>22.04</v>
      </c>
    </row>
    <row r="15" customFormat="false" ht="15" hidden="false" customHeight="false" outlineLevel="0" collapsed="false">
      <c r="A15" s="4" t="n">
        <v>9</v>
      </c>
      <c r="B15" s="4" t="n">
        <f aca="false">COUNTIFS('All tests'!$A$2:$A$1501,A15,'All tests'!$H$2:$H$1501,"IN")</f>
        <v>46</v>
      </c>
      <c r="C15" s="4" t="n">
        <f aca="false">COUNTIFS('All tests'!$A$2:$A$1501,A15,'All tests'!$H$2:$H$1501,"LATE")</f>
        <v>1</v>
      </c>
      <c r="D15" s="4" t="n">
        <f aca="false">COUNTIFS('All tests'!$A$2:$A$1501,A15,'All tests'!$H$2:$H$1501,"EARLY")</f>
        <v>3</v>
      </c>
      <c r="E15" s="4" t="n">
        <f aca="false">COUNTIFS('All tests'!$A$2:$A$1501,A15,'All tests'!$H$2:$H$1501,"MISSED")</f>
        <v>0</v>
      </c>
      <c r="F15" s="5" t="n">
        <f aca="false">B15/50</f>
        <v>0.92</v>
      </c>
      <c r="G15" s="4" t="str">
        <f aca="false">IF(B15&gt;=48,"Yes","No")</f>
        <v>No</v>
      </c>
      <c r="H15" s="6" t="n">
        <f aca="false">AVERAGEIFS('All tests'!$I$2:$I$1501,'All tests'!$A$2:$A$1501,A15)</f>
        <v>20.24</v>
      </c>
    </row>
    <row r="16" customFormat="false" ht="15" hidden="false" customHeight="false" outlineLevel="0" collapsed="false">
      <c r="A16" s="4" t="n">
        <v>10</v>
      </c>
      <c r="B16" s="4" t="n">
        <f aca="false">COUNTIFS('All tests'!$A$2:$A$1501,A16,'All tests'!$H$2:$H$1501,"IN")</f>
        <v>47</v>
      </c>
      <c r="C16" s="4" t="n">
        <f aca="false">COUNTIFS('All tests'!$A$2:$A$1501,A16,'All tests'!$H$2:$H$1501,"LATE")</f>
        <v>1</v>
      </c>
      <c r="D16" s="4" t="n">
        <f aca="false">COUNTIFS('All tests'!$A$2:$A$1501,A16,'All tests'!$H$2:$H$1501,"EARLY")</f>
        <v>2</v>
      </c>
      <c r="E16" s="4" t="n">
        <f aca="false">COUNTIFS('All tests'!$A$2:$A$1501,A16,'All tests'!$H$2:$H$1501,"MISSED")</f>
        <v>0</v>
      </c>
      <c r="F16" s="5" t="n">
        <f aca="false">B16/50</f>
        <v>0.94</v>
      </c>
      <c r="G16" s="4" t="str">
        <f aca="false">IF(B16&gt;=48,"Yes","No")</f>
        <v>No</v>
      </c>
      <c r="H16" s="6" t="n">
        <f aca="false">AVERAGEIFS('All tests'!$I$2:$I$1501,'All tests'!$A$2:$A$1501,A16)</f>
        <v>19.12</v>
      </c>
    </row>
    <row r="17" customFormat="false" ht="15" hidden="false" customHeight="false" outlineLevel="0" collapsed="false">
      <c r="A17" s="4" t="n">
        <v>11</v>
      </c>
      <c r="B17" s="4" t="n">
        <f aca="false">COUNTIFS('All tests'!$A$2:$A$1501,A17,'All tests'!$H$2:$H$1501,"IN")</f>
        <v>47</v>
      </c>
      <c r="C17" s="4" t="n">
        <f aca="false">COUNTIFS('All tests'!$A$2:$A$1501,A17,'All tests'!$H$2:$H$1501,"LATE")</f>
        <v>3</v>
      </c>
      <c r="D17" s="4" t="n">
        <f aca="false">COUNTIFS('All tests'!$A$2:$A$1501,A17,'All tests'!$H$2:$H$1501,"EARLY")</f>
        <v>0</v>
      </c>
      <c r="E17" s="4" t="n">
        <f aca="false">COUNTIFS('All tests'!$A$2:$A$1501,A17,'All tests'!$H$2:$H$1501,"MISSED")</f>
        <v>0</v>
      </c>
      <c r="F17" s="5" t="n">
        <f aca="false">B17/50</f>
        <v>0.94</v>
      </c>
      <c r="G17" s="4" t="str">
        <f aca="false">IF(B17&gt;=48,"Yes","No")</f>
        <v>No</v>
      </c>
      <c r="H17" s="6" t="n">
        <f aca="false">AVERAGEIFS('All tests'!$I$2:$I$1501,'All tests'!$A$2:$A$1501,A17)</f>
        <v>19.36</v>
      </c>
    </row>
    <row r="18" customFormat="false" ht="15" hidden="false" customHeight="false" outlineLevel="0" collapsed="false">
      <c r="A18" s="4" t="n">
        <v>12</v>
      </c>
      <c r="B18" s="4" t="n">
        <f aca="false">COUNTIFS('All tests'!$A$2:$A$1501,A18,'All tests'!$H$2:$H$1501,"IN")</f>
        <v>46</v>
      </c>
      <c r="C18" s="4" t="n">
        <f aca="false">COUNTIFS('All tests'!$A$2:$A$1501,A18,'All tests'!$H$2:$H$1501,"LATE")</f>
        <v>3</v>
      </c>
      <c r="D18" s="4" t="n">
        <f aca="false">COUNTIFS('All tests'!$A$2:$A$1501,A18,'All tests'!$H$2:$H$1501,"EARLY")</f>
        <v>1</v>
      </c>
      <c r="E18" s="4" t="n">
        <f aca="false">COUNTIFS('All tests'!$A$2:$A$1501,A18,'All tests'!$H$2:$H$1501,"MISSED")</f>
        <v>0</v>
      </c>
      <c r="F18" s="5" t="n">
        <f aca="false">B18/50</f>
        <v>0.92</v>
      </c>
      <c r="G18" s="4" t="str">
        <f aca="false">IF(B18&gt;=48,"Yes","No")</f>
        <v>No</v>
      </c>
      <c r="H18" s="6" t="n">
        <f aca="false">AVERAGEIFS('All tests'!$I$2:$I$1501,'All tests'!$A$2:$A$1501,A18)</f>
        <v>18.26</v>
      </c>
    </row>
    <row r="19" customFormat="false" ht="15" hidden="false" customHeight="false" outlineLevel="0" collapsed="false">
      <c r="A19" s="4" t="n">
        <v>13</v>
      </c>
      <c r="B19" s="4" t="n">
        <f aca="false">COUNTIFS('All tests'!$A$2:$A$1501,A19,'All tests'!$H$2:$H$1501,"IN")</f>
        <v>46</v>
      </c>
      <c r="C19" s="4" t="n">
        <f aca="false">COUNTIFS('All tests'!$A$2:$A$1501,A19,'All tests'!$H$2:$H$1501,"LATE")</f>
        <v>2</v>
      </c>
      <c r="D19" s="4" t="n">
        <f aca="false">COUNTIFS('All tests'!$A$2:$A$1501,A19,'All tests'!$H$2:$H$1501,"EARLY")</f>
        <v>2</v>
      </c>
      <c r="E19" s="4" t="n">
        <f aca="false">COUNTIFS('All tests'!$A$2:$A$1501,A19,'All tests'!$H$2:$H$1501,"MISSED")</f>
        <v>0</v>
      </c>
      <c r="F19" s="5" t="n">
        <f aca="false">B19/50</f>
        <v>0.92</v>
      </c>
      <c r="G19" s="4" t="str">
        <f aca="false">IF(B19&gt;=48,"Yes","No")</f>
        <v>No</v>
      </c>
      <c r="H19" s="6" t="n">
        <f aca="false">AVERAGEIFS('All tests'!$I$2:$I$1501,'All tests'!$A$2:$A$1501,A19)</f>
        <v>19.84</v>
      </c>
    </row>
    <row r="20" customFormat="false" ht="15" hidden="false" customHeight="false" outlineLevel="0" collapsed="false">
      <c r="A20" s="4" t="n">
        <v>14</v>
      </c>
      <c r="B20" s="4" t="n">
        <f aca="false">COUNTIFS('All tests'!$A$2:$A$1501,A20,'All tests'!$H$2:$H$1501,"IN")</f>
        <v>46</v>
      </c>
      <c r="C20" s="4" t="n">
        <f aca="false">COUNTIFS('All tests'!$A$2:$A$1501,A20,'All tests'!$H$2:$H$1501,"LATE")</f>
        <v>1</v>
      </c>
      <c r="D20" s="4" t="n">
        <f aca="false">COUNTIFS('All tests'!$A$2:$A$1501,A20,'All tests'!$H$2:$H$1501,"EARLY")</f>
        <v>3</v>
      </c>
      <c r="E20" s="4" t="n">
        <f aca="false">COUNTIFS('All tests'!$A$2:$A$1501,A20,'All tests'!$H$2:$H$1501,"MISSED")</f>
        <v>0</v>
      </c>
      <c r="F20" s="5" t="n">
        <f aca="false">B20/50</f>
        <v>0.92</v>
      </c>
      <c r="G20" s="4" t="str">
        <f aca="false">IF(B20&gt;=48,"Yes","No")</f>
        <v>No</v>
      </c>
      <c r="H20" s="6" t="n">
        <f aca="false">AVERAGEIFS('All tests'!$I$2:$I$1501,'All tests'!$A$2:$A$1501,A20)</f>
        <v>20.38</v>
      </c>
    </row>
    <row r="21" customFormat="false" ht="15" hidden="false" customHeight="false" outlineLevel="0" collapsed="false">
      <c r="A21" s="4" t="n">
        <v>15</v>
      </c>
      <c r="B21" s="4" t="n">
        <f aca="false">COUNTIFS('All tests'!$A$2:$A$1501,A21,'All tests'!$H$2:$H$1501,"IN")</f>
        <v>47</v>
      </c>
      <c r="C21" s="4" t="n">
        <f aca="false">COUNTIFS('All tests'!$A$2:$A$1501,A21,'All tests'!$H$2:$H$1501,"LATE")</f>
        <v>3</v>
      </c>
      <c r="D21" s="4" t="n">
        <f aca="false">COUNTIFS('All tests'!$A$2:$A$1501,A21,'All tests'!$H$2:$H$1501,"EARLY")</f>
        <v>0</v>
      </c>
      <c r="E21" s="4" t="n">
        <f aca="false">COUNTIFS('All tests'!$A$2:$A$1501,A21,'All tests'!$H$2:$H$1501,"MISSED")</f>
        <v>0</v>
      </c>
      <c r="F21" s="5" t="n">
        <f aca="false">B21/50</f>
        <v>0.94</v>
      </c>
      <c r="G21" s="4" t="str">
        <f aca="false">IF(B21&gt;=48,"Yes","No")</f>
        <v>No</v>
      </c>
      <c r="H21" s="6" t="n">
        <f aca="false">AVERAGEIFS('All tests'!$I$2:$I$1501,'All tests'!$A$2:$A$1501,A21)</f>
        <v>19.34</v>
      </c>
    </row>
    <row r="22" customFormat="false" ht="15" hidden="false" customHeight="false" outlineLevel="0" collapsed="false">
      <c r="A22" s="4" t="n">
        <v>16</v>
      </c>
      <c r="B22" s="4" t="n">
        <f aca="false">COUNTIFS('All tests'!$A$2:$A$1501,A22,'All tests'!$H$2:$H$1501,"IN")</f>
        <v>48</v>
      </c>
      <c r="C22" s="4" t="n">
        <f aca="false">COUNTIFS('All tests'!$A$2:$A$1501,A22,'All tests'!$H$2:$H$1501,"LATE")</f>
        <v>1</v>
      </c>
      <c r="D22" s="4" t="n">
        <f aca="false">COUNTIFS('All tests'!$A$2:$A$1501,A22,'All tests'!$H$2:$H$1501,"EARLY")</f>
        <v>1</v>
      </c>
      <c r="E22" s="4" t="n">
        <f aca="false">COUNTIFS('All tests'!$A$2:$A$1501,A22,'All tests'!$H$2:$H$1501,"MISSED")</f>
        <v>0</v>
      </c>
      <c r="F22" s="5" t="n">
        <f aca="false">B22/50</f>
        <v>0.96</v>
      </c>
      <c r="G22" s="4" t="str">
        <f aca="false">IF(B22&gt;=48,"Yes","No")</f>
        <v>Yes</v>
      </c>
      <c r="H22" s="6" t="n">
        <f aca="false">AVERAGEIFS('All tests'!$I$2:$I$1501,'All tests'!$A$2:$A$1501,A22)</f>
        <v>17.68</v>
      </c>
    </row>
    <row r="23" customFormat="false" ht="15" hidden="false" customHeight="false" outlineLevel="0" collapsed="false">
      <c r="A23" s="4" t="n">
        <v>17</v>
      </c>
      <c r="B23" s="4" t="n">
        <f aca="false">COUNTIFS('All tests'!$A$2:$A$1501,A23,'All tests'!$H$2:$H$1501,"IN")</f>
        <v>45</v>
      </c>
      <c r="C23" s="4" t="n">
        <f aca="false">COUNTIFS('All tests'!$A$2:$A$1501,A23,'All tests'!$H$2:$H$1501,"LATE")</f>
        <v>3</v>
      </c>
      <c r="D23" s="4" t="n">
        <f aca="false">COUNTIFS('All tests'!$A$2:$A$1501,A23,'All tests'!$H$2:$H$1501,"EARLY")</f>
        <v>2</v>
      </c>
      <c r="E23" s="4" t="n">
        <f aca="false">COUNTIFS('All tests'!$A$2:$A$1501,A23,'All tests'!$H$2:$H$1501,"MISSED")</f>
        <v>0</v>
      </c>
      <c r="F23" s="5" t="n">
        <f aca="false">B23/50</f>
        <v>0.9</v>
      </c>
      <c r="G23" s="4" t="str">
        <f aca="false">IF(B23&gt;=48,"Yes","No")</f>
        <v>No</v>
      </c>
      <c r="H23" s="6" t="n">
        <f aca="false">AVERAGEIFS('All tests'!$I$2:$I$1501,'All tests'!$A$2:$A$1501,A23)</f>
        <v>18.82</v>
      </c>
    </row>
    <row r="24" customFormat="false" ht="15" hidden="false" customHeight="false" outlineLevel="0" collapsed="false">
      <c r="A24" s="4" t="n">
        <v>18</v>
      </c>
      <c r="B24" s="4" t="n">
        <f aca="false">COUNTIFS('All tests'!$A$2:$A$1501,A24,'All tests'!$H$2:$H$1501,"IN")</f>
        <v>45</v>
      </c>
      <c r="C24" s="4" t="n">
        <f aca="false">COUNTIFS('All tests'!$A$2:$A$1501,A24,'All tests'!$H$2:$H$1501,"LATE")</f>
        <v>3</v>
      </c>
      <c r="D24" s="4" t="n">
        <f aca="false">COUNTIFS('All tests'!$A$2:$A$1501,A24,'All tests'!$H$2:$H$1501,"EARLY")</f>
        <v>2</v>
      </c>
      <c r="E24" s="4" t="n">
        <f aca="false">COUNTIFS('All tests'!$A$2:$A$1501,A24,'All tests'!$H$2:$H$1501,"MISSED")</f>
        <v>0</v>
      </c>
      <c r="F24" s="5" t="n">
        <f aca="false">B24/50</f>
        <v>0.9</v>
      </c>
      <c r="G24" s="4" t="str">
        <f aca="false">IF(B24&gt;=48,"Yes","No")</f>
        <v>No</v>
      </c>
      <c r="H24" s="6" t="n">
        <f aca="false">AVERAGEIFS('All tests'!$I$2:$I$1501,'All tests'!$A$2:$A$1501,A24)</f>
        <v>19.34</v>
      </c>
    </row>
    <row r="25" customFormat="false" ht="15" hidden="false" customHeight="false" outlineLevel="0" collapsed="false">
      <c r="A25" s="4" t="n">
        <v>19</v>
      </c>
      <c r="B25" s="4" t="n">
        <f aca="false">COUNTIFS('All tests'!$A$2:$A$1501,A25,'All tests'!$H$2:$H$1501,"IN")</f>
        <v>48</v>
      </c>
      <c r="C25" s="4" t="n">
        <f aca="false">COUNTIFS('All tests'!$A$2:$A$1501,A25,'All tests'!$H$2:$H$1501,"LATE")</f>
        <v>1</v>
      </c>
      <c r="D25" s="4" t="n">
        <f aca="false">COUNTIFS('All tests'!$A$2:$A$1501,A25,'All tests'!$H$2:$H$1501,"EARLY")</f>
        <v>1</v>
      </c>
      <c r="E25" s="4" t="n">
        <f aca="false">COUNTIFS('All tests'!$A$2:$A$1501,A25,'All tests'!$H$2:$H$1501,"MISSED")</f>
        <v>0</v>
      </c>
      <c r="F25" s="5" t="n">
        <f aca="false">B25/50</f>
        <v>0.96</v>
      </c>
      <c r="G25" s="4" t="str">
        <f aca="false">IF(B25&gt;=48,"Yes","No")</f>
        <v>Yes</v>
      </c>
      <c r="H25" s="6" t="n">
        <f aca="false">AVERAGEIFS('All tests'!$I$2:$I$1501,'All tests'!$A$2:$A$1501,A25)</f>
        <v>18.7</v>
      </c>
    </row>
    <row r="26" customFormat="false" ht="15" hidden="false" customHeight="false" outlineLevel="0" collapsed="false">
      <c r="A26" s="4" t="n">
        <v>20</v>
      </c>
      <c r="B26" s="4" t="n">
        <f aca="false">COUNTIFS('All tests'!$A$2:$A$1501,A26,'All tests'!$H$2:$H$1501,"IN")</f>
        <v>44</v>
      </c>
      <c r="C26" s="4" t="n">
        <f aca="false">COUNTIFS('All tests'!$A$2:$A$1501,A26,'All tests'!$H$2:$H$1501,"LATE")</f>
        <v>3</v>
      </c>
      <c r="D26" s="4" t="n">
        <f aca="false">COUNTIFS('All tests'!$A$2:$A$1501,A26,'All tests'!$H$2:$H$1501,"EARLY")</f>
        <v>3</v>
      </c>
      <c r="E26" s="4" t="n">
        <f aca="false">COUNTIFS('All tests'!$A$2:$A$1501,A26,'All tests'!$H$2:$H$1501,"MISSED")</f>
        <v>0</v>
      </c>
      <c r="F26" s="5" t="n">
        <f aca="false">B26/50</f>
        <v>0.88</v>
      </c>
      <c r="G26" s="4" t="str">
        <f aca="false">IF(B26&gt;=48,"Yes","No")</f>
        <v>No</v>
      </c>
      <c r="H26" s="6" t="n">
        <f aca="false">AVERAGEIFS('All tests'!$I$2:$I$1501,'All tests'!$A$2:$A$1501,A26)</f>
        <v>19</v>
      </c>
    </row>
    <row r="27" customFormat="false" ht="15" hidden="false" customHeight="false" outlineLevel="0" collapsed="false">
      <c r="A27" s="4" t="n">
        <v>21</v>
      </c>
      <c r="B27" s="4" t="n">
        <f aca="false">COUNTIFS('All tests'!$A$2:$A$1501,A27,'All tests'!$H$2:$H$1501,"IN")</f>
        <v>47</v>
      </c>
      <c r="C27" s="4" t="n">
        <f aca="false">COUNTIFS('All tests'!$A$2:$A$1501,A27,'All tests'!$H$2:$H$1501,"LATE")</f>
        <v>3</v>
      </c>
      <c r="D27" s="4" t="n">
        <f aca="false">COUNTIFS('All tests'!$A$2:$A$1501,A27,'All tests'!$H$2:$H$1501,"EARLY")</f>
        <v>0</v>
      </c>
      <c r="E27" s="4" t="n">
        <f aca="false">COUNTIFS('All tests'!$A$2:$A$1501,A27,'All tests'!$H$2:$H$1501,"MISSED")</f>
        <v>0</v>
      </c>
      <c r="F27" s="5" t="n">
        <f aca="false">B27/50</f>
        <v>0.94</v>
      </c>
      <c r="G27" s="4" t="str">
        <f aca="false">IF(B27&gt;=48,"Yes","No")</f>
        <v>No</v>
      </c>
      <c r="H27" s="6" t="n">
        <f aca="false">AVERAGEIFS('All tests'!$I$2:$I$1501,'All tests'!$A$2:$A$1501,A27)</f>
        <v>19.4</v>
      </c>
    </row>
    <row r="28" customFormat="false" ht="15" hidden="false" customHeight="false" outlineLevel="0" collapsed="false">
      <c r="A28" s="4" t="n">
        <v>22</v>
      </c>
      <c r="B28" s="4" t="n">
        <f aca="false">COUNTIFS('All tests'!$A$2:$A$1501,A28,'All tests'!$H$2:$H$1501,"IN")</f>
        <v>45</v>
      </c>
      <c r="C28" s="4" t="n">
        <f aca="false">COUNTIFS('All tests'!$A$2:$A$1501,A28,'All tests'!$H$2:$H$1501,"LATE")</f>
        <v>2</v>
      </c>
      <c r="D28" s="4" t="n">
        <f aca="false">COUNTIFS('All tests'!$A$2:$A$1501,A28,'All tests'!$H$2:$H$1501,"EARLY")</f>
        <v>3</v>
      </c>
      <c r="E28" s="4" t="n">
        <f aca="false">COUNTIFS('All tests'!$A$2:$A$1501,A28,'All tests'!$H$2:$H$1501,"MISSED")</f>
        <v>0</v>
      </c>
      <c r="F28" s="5" t="n">
        <f aca="false">B28/50</f>
        <v>0.9</v>
      </c>
      <c r="G28" s="4" t="str">
        <f aca="false">IF(B28&gt;=48,"Yes","No")</f>
        <v>No</v>
      </c>
      <c r="H28" s="6" t="n">
        <f aca="false">AVERAGEIFS('All tests'!$I$2:$I$1501,'All tests'!$A$2:$A$1501,A28)</f>
        <v>18.8</v>
      </c>
    </row>
    <row r="29" customFormat="false" ht="15" hidden="false" customHeight="false" outlineLevel="0" collapsed="false">
      <c r="A29" s="4" t="n">
        <v>23</v>
      </c>
      <c r="B29" s="4" t="n">
        <f aca="false">COUNTIFS('All tests'!$A$2:$A$1501,A29,'All tests'!$H$2:$H$1501,"IN")</f>
        <v>46</v>
      </c>
      <c r="C29" s="4" t="n">
        <f aca="false">COUNTIFS('All tests'!$A$2:$A$1501,A29,'All tests'!$H$2:$H$1501,"LATE")</f>
        <v>1</v>
      </c>
      <c r="D29" s="4" t="n">
        <f aca="false">COUNTIFS('All tests'!$A$2:$A$1501,A29,'All tests'!$H$2:$H$1501,"EARLY")</f>
        <v>3</v>
      </c>
      <c r="E29" s="4" t="n">
        <f aca="false">COUNTIFS('All tests'!$A$2:$A$1501,A29,'All tests'!$H$2:$H$1501,"MISSED")</f>
        <v>0</v>
      </c>
      <c r="F29" s="5" t="n">
        <f aca="false">B29/50</f>
        <v>0.92</v>
      </c>
      <c r="G29" s="4" t="str">
        <f aca="false">IF(B29&gt;=48,"Yes","No")</f>
        <v>No</v>
      </c>
      <c r="H29" s="6" t="n">
        <f aca="false">AVERAGEIFS('All tests'!$I$2:$I$1501,'All tests'!$A$2:$A$1501,A29)</f>
        <v>19.74</v>
      </c>
    </row>
    <row r="30" customFormat="false" ht="15" hidden="false" customHeight="false" outlineLevel="0" collapsed="false">
      <c r="A30" s="4" t="n">
        <v>24</v>
      </c>
      <c r="B30" s="4" t="n">
        <f aca="false">COUNTIFS('All tests'!$A$2:$A$1501,A30,'All tests'!$H$2:$H$1501,"IN")</f>
        <v>42</v>
      </c>
      <c r="C30" s="4" t="n">
        <f aca="false">COUNTIFS('All tests'!$A$2:$A$1501,A30,'All tests'!$H$2:$H$1501,"LATE")</f>
        <v>3</v>
      </c>
      <c r="D30" s="4" t="n">
        <f aca="false">COUNTIFS('All tests'!$A$2:$A$1501,A30,'All tests'!$H$2:$H$1501,"EARLY")</f>
        <v>5</v>
      </c>
      <c r="E30" s="4" t="n">
        <f aca="false">COUNTIFS('All tests'!$A$2:$A$1501,A30,'All tests'!$H$2:$H$1501,"MISSED")</f>
        <v>0</v>
      </c>
      <c r="F30" s="5" t="n">
        <f aca="false">B30/50</f>
        <v>0.84</v>
      </c>
      <c r="G30" s="4" t="str">
        <f aca="false">IF(B30&gt;=48,"Yes","No")</f>
        <v>No</v>
      </c>
      <c r="H30" s="6" t="n">
        <f aca="false">AVERAGEIFS('All tests'!$I$2:$I$1501,'All tests'!$A$2:$A$1501,A30)</f>
        <v>19.54</v>
      </c>
    </row>
    <row r="31" customFormat="false" ht="15" hidden="false" customHeight="false" outlineLevel="0" collapsed="false">
      <c r="A31" s="4" t="n">
        <v>25</v>
      </c>
      <c r="B31" s="4" t="n">
        <f aca="false">COUNTIFS('All tests'!$A$2:$A$1501,A31,'All tests'!$H$2:$H$1501,"IN")</f>
        <v>49</v>
      </c>
      <c r="C31" s="4" t="n">
        <f aca="false">COUNTIFS('All tests'!$A$2:$A$1501,A31,'All tests'!$H$2:$H$1501,"LATE")</f>
        <v>1</v>
      </c>
      <c r="D31" s="4" t="n">
        <f aca="false">COUNTIFS('All tests'!$A$2:$A$1501,A31,'All tests'!$H$2:$H$1501,"EARLY")</f>
        <v>0</v>
      </c>
      <c r="E31" s="4" t="n">
        <f aca="false">COUNTIFS('All tests'!$A$2:$A$1501,A31,'All tests'!$H$2:$H$1501,"MISSED")</f>
        <v>0</v>
      </c>
      <c r="F31" s="5" t="n">
        <f aca="false">B31/50</f>
        <v>0.98</v>
      </c>
      <c r="G31" s="4" t="str">
        <f aca="false">IF(B31&gt;=48,"Yes","No")</f>
        <v>Yes</v>
      </c>
      <c r="H31" s="6" t="n">
        <f aca="false">AVERAGEIFS('All tests'!$I$2:$I$1501,'All tests'!$A$2:$A$1501,A31)</f>
        <v>18.58</v>
      </c>
    </row>
    <row r="32" customFormat="false" ht="15" hidden="false" customHeight="false" outlineLevel="0" collapsed="false">
      <c r="A32" s="4" t="n">
        <v>26</v>
      </c>
      <c r="B32" s="4" t="n">
        <f aca="false">COUNTIFS('All tests'!$A$2:$A$1501,A32,'All tests'!$H$2:$H$1501,"IN")</f>
        <v>44</v>
      </c>
      <c r="C32" s="4" t="n">
        <f aca="false">COUNTIFS('All tests'!$A$2:$A$1501,A32,'All tests'!$H$2:$H$1501,"LATE")</f>
        <v>3</v>
      </c>
      <c r="D32" s="4" t="n">
        <f aca="false">COUNTIFS('All tests'!$A$2:$A$1501,A32,'All tests'!$H$2:$H$1501,"EARLY")</f>
        <v>3</v>
      </c>
      <c r="E32" s="4" t="n">
        <f aca="false">COUNTIFS('All tests'!$A$2:$A$1501,A32,'All tests'!$H$2:$H$1501,"MISSED")</f>
        <v>0</v>
      </c>
      <c r="F32" s="5" t="n">
        <f aca="false">B32/50</f>
        <v>0.88</v>
      </c>
      <c r="G32" s="4" t="str">
        <f aca="false">IF(B32&gt;=48,"Yes","No")</f>
        <v>No</v>
      </c>
      <c r="H32" s="6" t="n">
        <f aca="false">AVERAGEIFS('All tests'!$I$2:$I$1501,'All tests'!$A$2:$A$1501,A32)</f>
        <v>19.2</v>
      </c>
    </row>
    <row r="33" customFormat="false" ht="15" hidden="false" customHeight="false" outlineLevel="0" collapsed="false">
      <c r="A33" s="4" t="n">
        <v>27</v>
      </c>
      <c r="B33" s="4" t="n">
        <f aca="false">COUNTIFS('All tests'!$A$2:$A$1501,A33,'All tests'!$H$2:$H$1501,"IN")</f>
        <v>47</v>
      </c>
      <c r="C33" s="4" t="n">
        <f aca="false">COUNTIFS('All tests'!$A$2:$A$1501,A33,'All tests'!$H$2:$H$1501,"LATE")</f>
        <v>2</v>
      </c>
      <c r="D33" s="4" t="n">
        <f aca="false">COUNTIFS('All tests'!$A$2:$A$1501,A33,'All tests'!$H$2:$H$1501,"EARLY")</f>
        <v>1</v>
      </c>
      <c r="E33" s="4" t="n">
        <f aca="false">COUNTIFS('All tests'!$A$2:$A$1501,A33,'All tests'!$H$2:$H$1501,"MISSED")</f>
        <v>0</v>
      </c>
      <c r="F33" s="5" t="n">
        <f aca="false">B33/50</f>
        <v>0.94</v>
      </c>
      <c r="G33" s="4" t="str">
        <f aca="false">IF(B33&gt;=48,"Yes","No")</f>
        <v>No</v>
      </c>
      <c r="H33" s="6" t="n">
        <f aca="false">AVERAGEIFS('All tests'!$I$2:$I$1501,'All tests'!$A$2:$A$1501,A33)</f>
        <v>18.7</v>
      </c>
    </row>
    <row r="34" customFormat="false" ht="15" hidden="false" customHeight="false" outlineLevel="0" collapsed="false">
      <c r="A34" s="4" t="n">
        <v>28</v>
      </c>
      <c r="B34" s="4" t="n">
        <f aca="false">COUNTIFS('All tests'!$A$2:$A$1501,A34,'All tests'!$H$2:$H$1501,"IN")</f>
        <v>44</v>
      </c>
      <c r="C34" s="4" t="n">
        <f aca="false">COUNTIFS('All tests'!$A$2:$A$1501,A34,'All tests'!$H$2:$H$1501,"LATE")</f>
        <v>2</v>
      </c>
      <c r="D34" s="4" t="n">
        <f aca="false">COUNTIFS('All tests'!$A$2:$A$1501,A34,'All tests'!$H$2:$H$1501,"EARLY")</f>
        <v>4</v>
      </c>
      <c r="E34" s="4" t="n">
        <f aca="false">COUNTIFS('All tests'!$A$2:$A$1501,A34,'All tests'!$H$2:$H$1501,"MISSED")</f>
        <v>0</v>
      </c>
      <c r="F34" s="5" t="n">
        <f aca="false">B34/50</f>
        <v>0.88</v>
      </c>
      <c r="G34" s="4" t="str">
        <f aca="false">IF(B34&gt;=48,"Yes","No")</f>
        <v>No</v>
      </c>
      <c r="H34" s="6" t="n">
        <f aca="false">AVERAGEIFS('All tests'!$I$2:$I$1501,'All tests'!$A$2:$A$1501,A34)</f>
        <v>18.24</v>
      </c>
    </row>
    <row r="35" customFormat="false" ht="15" hidden="false" customHeight="false" outlineLevel="0" collapsed="false">
      <c r="A35" s="4" t="n">
        <v>29</v>
      </c>
      <c r="B35" s="4" t="n">
        <f aca="false">COUNTIFS('All tests'!$A$2:$A$1501,A35,'All tests'!$H$2:$H$1501,"IN")</f>
        <v>45</v>
      </c>
      <c r="C35" s="4" t="n">
        <f aca="false">COUNTIFS('All tests'!$A$2:$A$1501,A35,'All tests'!$H$2:$H$1501,"LATE")</f>
        <v>4</v>
      </c>
      <c r="D35" s="4" t="n">
        <f aca="false">COUNTIFS('All tests'!$A$2:$A$1501,A35,'All tests'!$H$2:$H$1501,"EARLY")</f>
        <v>1</v>
      </c>
      <c r="E35" s="4" t="n">
        <f aca="false">COUNTIFS('All tests'!$A$2:$A$1501,A35,'All tests'!$H$2:$H$1501,"MISSED")</f>
        <v>0</v>
      </c>
      <c r="F35" s="5" t="n">
        <f aca="false">B35/50</f>
        <v>0.9</v>
      </c>
      <c r="G35" s="4" t="str">
        <f aca="false">IF(B35&gt;=48,"Yes","No")</f>
        <v>No</v>
      </c>
      <c r="H35" s="6" t="n">
        <f aca="false">AVERAGEIFS('All tests'!$I$2:$I$1501,'All tests'!$A$2:$A$1501,A35)</f>
        <v>18.46</v>
      </c>
    </row>
    <row r="36" customFormat="false" ht="15" hidden="false" customHeight="false" outlineLevel="0" collapsed="false">
      <c r="A36" s="4" t="n">
        <v>30</v>
      </c>
      <c r="B36" s="4" t="n">
        <f aca="false">COUNTIFS('All tests'!$A$2:$A$1501,A36,'All tests'!$H$2:$H$1501,"IN")</f>
        <v>45</v>
      </c>
      <c r="C36" s="4" t="n">
        <f aca="false">COUNTIFS('All tests'!$A$2:$A$1501,A36,'All tests'!$H$2:$H$1501,"LATE")</f>
        <v>2</v>
      </c>
      <c r="D36" s="4" t="n">
        <f aca="false">COUNTIFS('All tests'!$A$2:$A$1501,A36,'All tests'!$H$2:$H$1501,"EARLY")</f>
        <v>3</v>
      </c>
      <c r="E36" s="4" t="n">
        <f aca="false">COUNTIFS('All tests'!$A$2:$A$1501,A36,'All tests'!$H$2:$H$1501,"MISSED")</f>
        <v>0</v>
      </c>
      <c r="F36" s="5" t="n">
        <f aca="false">B36/50</f>
        <v>0.9</v>
      </c>
      <c r="G36" s="4" t="str">
        <f aca="false">IF(B36&gt;=48,"Yes","No")</f>
        <v>No</v>
      </c>
      <c r="H36" s="6" t="n">
        <f aca="false">AVERAGEIFS('All tests'!$I$2:$I$1501,'All tests'!$A$2:$A$1501,A36)</f>
        <v>18.9</v>
      </c>
    </row>
    <row r="38" customFormat="false" ht="15" hidden="false" customHeight="false" outlineLevel="0" collapsed="false">
      <c r="A38" s="3" t="s">
        <v>12</v>
      </c>
      <c r="B38" s="3" t="s">
        <v>13</v>
      </c>
    </row>
    <row r="39" customFormat="false" ht="15" hidden="false" customHeight="false" outlineLevel="0" collapsed="false">
      <c r="A39" s="7" t="s">
        <v>14</v>
      </c>
      <c r="B39" s="8" t="n">
        <f aca="false">AVERAGE(B7:B36)</f>
        <v>45.9</v>
      </c>
    </row>
    <row r="40" customFormat="false" ht="15" hidden="false" customHeight="false" outlineLevel="0" collapsed="false">
      <c r="A40" s="7" t="s">
        <v>15</v>
      </c>
      <c r="B40" s="9" t="n">
        <f aca="false">AVERAGE(F7:F36)</f>
        <v>0.918</v>
      </c>
    </row>
    <row r="41" customFormat="false" ht="15" hidden="false" customHeight="false" outlineLevel="0" collapsed="false">
      <c r="A41" s="7" t="s">
        <v>16</v>
      </c>
      <c r="B41" s="9" t="n">
        <f aca="false">STDEV(F7:F36)</f>
        <v>0.0329471886718626</v>
      </c>
    </row>
    <row r="42" customFormat="false" ht="15" hidden="false" customHeight="false" outlineLevel="0" collapsed="false">
      <c r="A42" s="7" t="s">
        <v>17</v>
      </c>
      <c r="B42" s="8" t="n">
        <f aca="false">STDEV(B7:B36)</f>
        <v>1.64735943359313</v>
      </c>
    </row>
    <row r="43" customFormat="false" ht="15" hidden="false" customHeight="false" outlineLevel="0" collapsed="false">
      <c r="A43" s="7" t="s">
        <v>18</v>
      </c>
      <c r="B43" s="10" t="n">
        <f aca="false">MIN(B7:B36)</f>
        <v>42</v>
      </c>
    </row>
    <row r="44" customFormat="false" ht="15" hidden="false" customHeight="false" outlineLevel="0" collapsed="false">
      <c r="A44" s="7" t="s">
        <v>19</v>
      </c>
      <c r="B44" s="10" t="n">
        <f aca="false">MAX(B7:B36)</f>
        <v>49</v>
      </c>
    </row>
    <row r="45" customFormat="false" ht="15" hidden="false" customHeight="false" outlineLevel="0" collapsed="false">
      <c r="A45" s="7" t="s">
        <v>20</v>
      </c>
      <c r="B45" s="10" t="n">
        <f aca="false">COUNTIF(G7:G36,"Yes")</f>
        <v>4</v>
      </c>
    </row>
    <row r="46" customFormat="false" ht="15" hidden="false" customHeight="false" outlineLevel="0" collapsed="false">
      <c r="A46" s="7" t="s">
        <v>21</v>
      </c>
      <c r="B46" s="10" t="n">
        <f aca="false">COUNTIF(B7:B36,"&gt;=46")</f>
        <v>19</v>
      </c>
    </row>
    <row r="47" customFormat="false" ht="15" hidden="false" customHeight="false" outlineLevel="0" collapsed="false">
      <c r="A47" s="7" t="s">
        <v>22</v>
      </c>
      <c r="B47" s="8" t="n">
        <f aca="false">AVERAGE(C7:C36)+AVERAGE(E7:E36)</f>
        <v>2.1</v>
      </c>
    </row>
    <row r="48" customFormat="false" ht="15" hidden="false" customHeight="false" outlineLevel="0" collapsed="false">
      <c r="A48" s="7" t="s">
        <v>23</v>
      </c>
      <c r="B48" s="8" t="n">
        <f aca="false">AVERAGE(D7:D36)</f>
        <v>2</v>
      </c>
    </row>
    <row r="49" customFormat="false" ht="15" hidden="false" customHeight="false" outlineLevel="0" collapsed="false">
      <c r="A49" s="7" t="s">
        <v>24</v>
      </c>
      <c r="B49" s="8" t="n">
        <f aca="false">AVERAGE(H7:H36)</f>
        <v>19.292</v>
      </c>
    </row>
    <row r="50" customFormat="false" ht="15" hidden="false" customHeight="false" outlineLevel="0" collapsed="false">
      <c r="A50" s="7" t="s">
        <v>25</v>
      </c>
      <c r="B50" s="8" t="n">
        <f aca="false">AVERAGE('All tests'!I2:I1501)</f>
        <v>19.292</v>
      </c>
    </row>
    <row r="51" customFormat="false" ht="15" hidden="false" customHeight="false" outlineLevel="0" collapsed="false">
      <c r="A51" s="7" t="s">
        <v>26</v>
      </c>
      <c r="B51" s="8" t="n">
        <f aca="false">MEDIAN('All tests'!G2:G1501)</f>
        <v>-4.16180936408576</v>
      </c>
    </row>
    <row r="53" customFormat="false" ht="15" hidden="false" customHeight="false" outlineLevel="0" collapsed="false">
      <c r="A53" s="2" t="s">
        <v>27</v>
      </c>
    </row>
  </sheetData>
  <conditionalFormatting sqref="G7:G36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2"/>
  </cols>
  <sheetData>
    <row r="1" customFormat="false" ht="16.15" hidden="false" customHeight="false" outlineLevel="0" collapsed="false">
      <c r="A1" s="11" t="s">
        <v>28</v>
      </c>
    </row>
    <row r="3" customFormat="false" ht="26.85" hidden="false" customHeight="false" outlineLevel="0" collapsed="false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</row>
    <row r="4" customFormat="false" ht="15" hidden="false" customHeight="false" outlineLevel="0" collapsed="false">
      <c r="A4" s="4" t="n">
        <v>1</v>
      </c>
      <c r="B4" s="4" t="n">
        <v>3</v>
      </c>
      <c r="C4" s="4" t="n">
        <v>150</v>
      </c>
      <c r="D4" s="6" t="n">
        <v>151.704709111751</v>
      </c>
      <c r="E4" s="6" t="n">
        <f aca="false">D4-C4</f>
        <v>1.70470911175121</v>
      </c>
      <c r="F4" s="4" t="str">
        <f aca="false">IF(E4&gt;2,"LATE",IF(E4&lt;-13,"EARLY","IN"))</f>
        <v>IN</v>
      </c>
    </row>
    <row r="5" customFormat="false" ht="15" hidden="false" customHeight="false" outlineLevel="0" collapsed="false">
      <c r="A5" s="4" t="n">
        <v>2</v>
      </c>
      <c r="B5" s="4" t="n">
        <v>13</v>
      </c>
      <c r="C5" s="4" t="n">
        <v>210</v>
      </c>
      <c r="D5" s="6" t="n">
        <v>203.962330188063</v>
      </c>
      <c r="E5" s="6" t="n">
        <f aca="false">D5-C5</f>
        <v>-6.03766981193721</v>
      </c>
      <c r="F5" s="4" t="str">
        <f aca="false">IF(E5&gt;2,"LATE",IF(E5&lt;-13,"EARLY","IN"))</f>
        <v>IN</v>
      </c>
    </row>
    <row r="6" customFormat="false" ht="15" hidden="false" customHeight="false" outlineLevel="0" collapsed="false">
      <c r="A6" s="4" t="n">
        <v>3</v>
      </c>
      <c r="B6" s="4" t="n">
        <v>14</v>
      </c>
      <c r="C6" s="4" t="n">
        <v>147</v>
      </c>
      <c r="D6" s="6" t="n">
        <v>145.537327034169</v>
      </c>
      <c r="E6" s="6" t="n">
        <f aca="false">D6-C6</f>
        <v>-1.46267296583059</v>
      </c>
      <c r="F6" s="4" t="str">
        <f aca="false">IF(E6&gt;2,"LATE",IF(E6&lt;-13,"EARLY","IN"))</f>
        <v>IN</v>
      </c>
    </row>
    <row r="7" customFormat="false" ht="15" hidden="false" customHeight="false" outlineLevel="0" collapsed="false">
      <c r="A7" s="4" t="n">
        <v>4</v>
      </c>
      <c r="B7" s="4" t="n">
        <v>18</v>
      </c>
      <c r="C7" s="4" t="n">
        <v>196</v>
      </c>
      <c r="D7" s="6" t="n">
        <v>191.25522730496</v>
      </c>
      <c r="E7" s="6" t="n">
        <f aca="false">D7-C7</f>
        <v>-4.74477269503959</v>
      </c>
      <c r="F7" s="4" t="str">
        <f aca="false">IF(E7&gt;2,"LATE",IF(E7&lt;-13,"EARLY","IN"))</f>
        <v>IN</v>
      </c>
    </row>
    <row r="8" customFormat="false" ht="15" hidden="false" customHeight="false" outlineLevel="0" collapsed="false">
      <c r="A8" s="4" t="n">
        <v>5</v>
      </c>
      <c r="B8" s="4" t="n">
        <v>19</v>
      </c>
      <c r="C8" s="4" t="n">
        <v>167</v>
      </c>
      <c r="D8" s="6" t="n">
        <v>161.466282241273</v>
      </c>
      <c r="E8" s="6" t="n">
        <f aca="false">D8-C8</f>
        <v>-5.5337177587266</v>
      </c>
      <c r="F8" s="4" t="str">
        <f aca="false">IF(E8&gt;2,"LATE",IF(E8&lt;-13,"EARLY","IN"))</f>
        <v>IN</v>
      </c>
    </row>
    <row r="9" customFormat="false" ht="15" hidden="false" customHeight="false" outlineLevel="0" collapsed="false">
      <c r="A9" s="4" t="n">
        <v>6</v>
      </c>
      <c r="B9" s="4" t="n">
        <v>20</v>
      </c>
      <c r="C9" s="4" t="n">
        <v>154</v>
      </c>
      <c r="D9" s="6" t="n">
        <v>155.279797646884</v>
      </c>
      <c r="E9" s="6" t="n">
        <f aca="false">D9-C9</f>
        <v>1.27979764688391</v>
      </c>
      <c r="F9" s="4" t="str">
        <f aca="false">IF(E9&gt;2,"LATE",IF(E9&lt;-13,"EARLY","IN"))</f>
        <v>IN</v>
      </c>
    </row>
    <row r="10" customFormat="false" ht="15" hidden="false" customHeight="false" outlineLevel="0" collapsed="false">
      <c r="A10" s="4" t="n">
        <v>7</v>
      </c>
      <c r="B10" s="4" t="n">
        <v>22</v>
      </c>
      <c r="C10" s="4" t="n">
        <v>203</v>
      </c>
      <c r="D10" s="6" t="n">
        <v>191.311776012489</v>
      </c>
      <c r="E10" s="6" t="n">
        <f aca="false">D10-C10</f>
        <v>-11.6882239875114</v>
      </c>
      <c r="F10" s="4" t="str">
        <f aca="false">IF(E10&gt;2,"LATE",IF(E10&lt;-13,"EARLY","IN"))</f>
        <v>IN</v>
      </c>
    </row>
    <row r="11" customFormat="false" ht="15" hidden="false" customHeight="false" outlineLevel="0" collapsed="false">
      <c r="A11" s="4" t="n">
        <v>8</v>
      </c>
      <c r="B11" s="4" t="n">
        <v>24</v>
      </c>
      <c r="C11" s="4" t="n">
        <v>191</v>
      </c>
      <c r="D11" s="6" t="n">
        <v>187.299826375656</v>
      </c>
      <c r="E11" s="6" t="n">
        <f aca="false">D11-C11</f>
        <v>-3.70017362434371</v>
      </c>
      <c r="F11" s="4" t="str">
        <f aca="false">IF(E11&gt;2,"LATE",IF(E11&lt;-13,"EARLY","IN"))</f>
        <v>IN</v>
      </c>
    </row>
    <row r="12" customFormat="false" ht="15" hidden="false" customHeight="false" outlineLevel="0" collapsed="false">
      <c r="A12" s="4" t="n">
        <v>9</v>
      </c>
      <c r="B12" s="4" t="n">
        <v>26</v>
      </c>
      <c r="C12" s="4" t="n">
        <v>210</v>
      </c>
      <c r="D12" s="6" t="n">
        <v>205.962341037174</v>
      </c>
      <c r="E12" s="6" t="n">
        <f aca="false">D12-C12</f>
        <v>-4.03765896282559</v>
      </c>
      <c r="F12" s="4" t="str">
        <f aca="false">IF(E12&gt;2,"LATE",IF(E12&lt;-13,"EARLY","IN"))</f>
        <v>IN</v>
      </c>
    </row>
    <row r="13" customFormat="false" ht="15" hidden="false" customHeight="false" outlineLevel="0" collapsed="false">
      <c r="A13" s="4" t="n">
        <v>10</v>
      </c>
      <c r="B13" s="4" t="n">
        <v>29</v>
      </c>
      <c r="C13" s="4" t="n">
        <v>228</v>
      </c>
      <c r="D13" s="6" t="n">
        <v>227.912970638795</v>
      </c>
      <c r="E13" s="6" t="n">
        <f aca="false">D13-C13</f>
        <v>-0.0870293612047988</v>
      </c>
      <c r="F13" s="4" t="str">
        <f aca="false">IF(E13&gt;2,"LATE",IF(E13&lt;-13,"EARLY","IN"))</f>
        <v>IN</v>
      </c>
    </row>
    <row r="14" customFormat="false" ht="15" hidden="false" customHeight="false" outlineLevel="0" collapsed="false">
      <c r="A14" s="4" t="n">
        <v>11</v>
      </c>
      <c r="B14" s="4" t="n">
        <v>32</v>
      </c>
      <c r="C14" s="4" t="n">
        <v>193</v>
      </c>
      <c r="D14" s="6" t="n">
        <v>194.427770775409</v>
      </c>
      <c r="E14" s="6" t="n">
        <f aca="false">D14-C14</f>
        <v>1.4277707754087</v>
      </c>
      <c r="F14" s="4" t="str">
        <f aca="false">IF(E14&gt;2,"LATE",IF(E14&lt;-13,"EARLY","IN"))</f>
        <v>IN</v>
      </c>
    </row>
    <row r="15" customFormat="false" ht="15" hidden="false" customHeight="false" outlineLevel="0" collapsed="false">
      <c r="A15" s="4" t="n">
        <v>12</v>
      </c>
      <c r="B15" s="4" t="n">
        <v>33</v>
      </c>
      <c r="C15" s="4" t="n">
        <v>286</v>
      </c>
      <c r="D15" s="6" t="n">
        <v>280.582271725364</v>
      </c>
      <c r="E15" s="6" t="n">
        <f aca="false">D15-C15</f>
        <v>-5.41772827463592</v>
      </c>
      <c r="F15" s="4" t="str">
        <f aca="false">IF(E15&gt;2,"LATE",IF(E15&lt;-13,"EARLY","IN"))</f>
        <v>IN</v>
      </c>
    </row>
    <row r="16" customFormat="false" ht="15" hidden="false" customHeight="false" outlineLevel="0" collapsed="false">
      <c r="A16" s="4" t="n">
        <v>13</v>
      </c>
      <c r="B16" s="4" t="n">
        <v>34</v>
      </c>
      <c r="C16" s="4" t="n">
        <v>286</v>
      </c>
      <c r="D16" s="6" t="n">
        <v>279.798498367102</v>
      </c>
      <c r="E16" s="6" t="n">
        <f aca="false">D16-C16</f>
        <v>-6.20150163289787</v>
      </c>
      <c r="F16" s="4" t="str">
        <f aca="false">IF(E16&gt;2,"LATE",IF(E16&lt;-13,"EARLY","IN"))</f>
        <v>IN</v>
      </c>
    </row>
    <row r="17" customFormat="false" ht="15" hidden="false" customHeight="false" outlineLevel="0" collapsed="false">
      <c r="A17" s="4" t="n">
        <v>14</v>
      </c>
      <c r="B17" s="4" t="n">
        <v>37</v>
      </c>
      <c r="C17" s="4" t="n">
        <v>177</v>
      </c>
      <c r="D17" s="6" t="n">
        <v>166.759203422844</v>
      </c>
      <c r="E17" s="6" t="n">
        <f aca="false">D17-C17</f>
        <v>-10.2407965771559</v>
      </c>
      <c r="F17" s="4" t="str">
        <f aca="false">IF(E17&gt;2,"LATE",IF(E17&lt;-13,"EARLY","IN"))</f>
        <v>IN</v>
      </c>
    </row>
    <row r="18" customFormat="false" ht="15" hidden="false" customHeight="false" outlineLevel="0" collapsed="false">
      <c r="A18" s="4" t="n">
        <v>15</v>
      </c>
      <c r="B18" s="4" t="n">
        <v>42</v>
      </c>
      <c r="C18" s="4" t="n">
        <v>241</v>
      </c>
      <c r="D18" s="6" t="n">
        <v>230.248722303615</v>
      </c>
      <c r="E18" s="6" t="n">
        <f aca="false">D18-C18</f>
        <v>-10.7512776963851</v>
      </c>
      <c r="F18" s="4" t="str">
        <f aca="false">IF(E18&gt;2,"LATE",IF(E18&lt;-13,"EARLY","IN"))</f>
        <v>IN</v>
      </c>
    </row>
    <row r="19" customFormat="false" ht="15" hidden="false" customHeight="false" outlineLevel="0" collapsed="false">
      <c r="A19" s="4" t="n">
        <v>16</v>
      </c>
      <c r="B19" s="4" t="n">
        <v>43</v>
      </c>
      <c r="C19" s="4" t="n">
        <v>209</v>
      </c>
      <c r="D19" s="6" t="n">
        <v>207.676996556118</v>
      </c>
      <c r="E19" s="6" t="n">
        <f aca="false">D19-C19</f>
        <v>-1.3230034438823</v>
      </c>
      <c r="F19" s="4" t="str">
        <f aca="false">IF(E19&gt;2,"LATE",IF(E19&lt;-13,"EARLY","IN"))</f>
        <v>IN</v>
      </c>
    </row>
    <row r="20" customFormat="false" ht="15" hidden="false" customHeight="false" outlineLevel="0" collapsed="false">
      <c r="A20" s="4" t="n">
        <v>17</v>
      </c>
      <c r="B20" s="4" t="n">
        <v>50</v>
      </c>
      <c r="C20" s="4" t="n">
        <v>223</v>
      </c>
      <c r="D20" s="6" t="n">
        <v>217.401969235436</v>
      </c>
      <c r="E20" s="6" t="n">
        <f aca="false">D20-C20</f>
        <v>-5.59803076456441</v>
      </c>
      <c r="F20" s="4" t="str">
        <f aca="false">IF(E20&gt;2,"LATE",IF(E20&lt;-13,"EARLY","IN"))</f>
        <v>IN</v>
      </c>
    </row>
    <row r="21" customFormat="false" ht="15" hidden="false" customHeight="false" outlineLevel="0" collapsed="false">
      <c r="A21" s="4" t="n">
        <v>18</v>
      </c>
      <c r="B21" s="4" t="n">
        <v>51</v>
      </c>
      <c r="C21" s="4" t="n">
        <v>182</v>
      </c>
      <c r="D21" s="6" t="n">
        <v>180.295529359631</v>
      </c>
      <c r="E21" s="6" t="n">
        <f aca="false">D21-C21</f>
        <v>-1.7044706403689</v>
      </c>
      <c r="F21" s="4" t="str">
        <f aca="false">IF(E21&gt;2,"LATE",IF(E21&lt;-13,"EARLY","IN"))</f>
        <v>IN</v>
      </c>
    </row>
    <row r="22" customFormat="false" ht="15" hidden="false" customHeight="false" outlineLevel="0" collapsed="false">
      <c r="A22" s="4" t="n">
        <v>19</v>
      </c>
      <c r="B22" s="4" t="n">
        <v>56</v>
      </c>
      <c r="C22" s="4" t="n">
        <v>162</v>
      </c>
      <c r="D22" s="6" t="n">
        <v>162.643662008825</v>
      </c>
      <c r="E22" s="6" t="n">
        <f aca="false">D22-C22</f>
        <v>0.64366200882489</v>
      </c>
      <c r="F22" s="4" t="str">
        <f aca="false">IF(E22&gt;2,"LATE",IF(E22&lt;-13,"EARLY","IN"))</f>
        <v>IN</v>
      </c>
    </row>
    <row r="23" customFormat="false" ht="15" hidden="false" customHeight="false" outlineLevel="0" collapsed="false">
      <c r="A23" s="4" t="n">
        <v>20</v>
      </c>
      <c r="B23" s="4" t="n">
        <v>57</v>
      </c>
      <c r="C23" s="4" t="n">
        <v>150</v>
      </c>
      <c r="D23" s="6" t="n">
        <v>143.604218713883</v>
      </c>
      <c r="E23" s="6" t="n">
        <f aca="false">D23-C23</f>
        <v>-6.3957812861174</v>
      </c>
      <c r="F23" s="4" t="str">
        <f aca="false">IF(E23&gt;2,"LATE",IF(E23&lt;-13,"EARLY","IN"))</f>
        <v>IN</v>
      </c>
    </row>
    <row r="24" customFormat="false" ht="15" hidden="false" customHeight="false" outlineLevel="0" collapsed="false">
      <c r="A24" s="4" t="n">
        <v>21</v>
      </c>
      <c r="B24" s="4" t="n">
        <v>69</v>
      </c>
      <c r="C24" s="4" t="n">
        <v>170</v>
      </c>
      <c r="D24" s="6" t="n">
        <v>171.49071706858</v>
      </c>
      <c r="E24" s="6" t="n">
        <f aca="false">D24-C24</f>
        <v>1.4907170685795</v>
      </c>
      <c r="F24" s="4" t="str">
        <f aca="false">IF(E24&gt;2,"LATE",IF(E24&lt;-13,"EARLY","IN"))</f>
        <v>IN</v>
      </c>
    </row>
    <row r="25" customFormat="false" ht="15" hidden="false" customHeight="false" outlineLevel="0" collapsed="false">
      <c r="A25" s="4" t="n">
        <v>22</v>
      </c>
      <c r="B25" s="4" t="n">
        <v>73</v>
      </c>
      <c r="C25" s="4" t="n">
        <v>249</v>
      </c>
      <c r="D25" s="6" t="n">
        <v>241.921879532463</v>
      </c>
      <c r="E25" s="6" t="n">
        <f aca="false">D25-C25</f>
        <v>-7.0781204675373</v>
      </c>
      <c r="F25" s="4" t="str">
        <f aca="false">IF(E25&gt;2,"LATE",IF(E25&lt;-13,"EARLY","IN"))</f>
        <v>IN</v>
      </c>
    </row>
    <row r="26" customFormat="false" ht="15" hidden="false" customHeight="false" outlineLevel="0" collapsed="false">
      <c r="A26" s="4" t="n">
        <v>23</v>
      </c>
      <c r="B26" s="4" t="n">
        <v>78</v>
      </c>
      <c r="C26" s="4" t="n">
        <v>228</v>
      </c>
      <c r="D26" s="6" t="n">
        <v>215.040695671537</v>
      </c>
      <c r="E26" s="6" t="n">
        <f aca="false">D26-C26</f>
        <v>-12.9593043284633</v>
      </c>
      <c r="F26" s="4" t="str">
        <f aca="false">IF(E26&gt;2,"LATE",IF(E26&lt;-13,"EARLY","IN"))</f>
        <v>IN</v>
      </c>
    </row>
    <row r="27" customFormat="false" ht="15" hidden="false" customHeight="false" outlineLevel="0" collapsed="false">
      <c r="A27" s="4" t="n">
        <v>24</v>
      </c>
      <c r="B27" s="4" t="n">
        <v>79</v>
      </c>
      <c r="C27" s="4" t="n">
        <v>225</v>
      </c>
      <c r="D27" s="6" t="n">
        <v>214.907467447134</v>
      </c>
      <c r="E27" s="6" t="n">
        <f aca="false">D27-C27</f>
        <v>-10.0925325528661</v>
      </c>
      <c r="F27" s="4" t="str">
        <f aca="false">IF(E27&gt;2,"LATE",IF(E27&lt;-13,"EARLY","IN"))</f>
        <v>IN</v>
      </c>
    </row>
    <row r="28" customFormat="false" ht="15" hidden="false" customHeight="false" outlineLevel="0" collapsed="false">
      <c r="A28" s="4" t="n">
        <v>25</v>
      </c>
      <c r="B28" s="4" t="n">
        <v>88</v>
      </c>
      <c r="C28" s="4" t="n">
        <v>134</v>
      </c>
      <c r="D28" s="6" t="n">
        <v>133.396380126873</v>
      </c>
      <c r="E28" s="6" t="n">
        <f aca="false">D28-C28</f>
        <v>-0.603619873127087</v>
      </c>
      <c r="F28" s="4" t="str">
        <f aca="false">IF(E28&gt;2,"LATE",IF(E28&lt;-13,"EARLY","IN"))</f>
        <v>IN</v>
      </c>
    </row>
    <row r="29" customFormat="false" ht="15" hidden="false" customHeight="false" outlineLevel="0" collapsed="false">
      <c r="A29" s="4" t="n">
        <v>26</v>
      </c>
      <c r="B29" s="4" t="n">
        <v>95</v>
      </c>
      <c r="C29" s="4" t="n">
        <v>234</v>
      </c>
      <c r="D29" s="6" t="n">
        <v>226.746481942706</v>
      </c>
      <c r="E29" s="6" t="n">
        <f aca="false">D29-C29</f>
        <v>-7.253518057294</v>
      </c>
      <c r="F29" s="4" t="str">
        <f aca="false">IF(E29&gt;2,"LATE",IF(E29&lt;-13,"EARLY","IN"))</f>
        <v>IN</v>
      </c>
    </row>
    <row r="30" customFormat="false" ht="15" hidden="false" customHeight="false" outlineLevel="0" collapsed="false">
      <c r="A30" s="4" t="n">
        <v>27</v>
      </c>
      <c r="B30" s="4" t="n">
        <v>98</v>
      </c>
      <c r="C30" s="4" t="n">
        <v>206</v>
      </c>
      <c r="D30" s="6" t="n">
        <v>204.955523717505</v>
      </c>
      <c r="E30" s="6" t="n">
        <f aca="false">D30-C30</f>
        <v>-1.0444762824946</v>
      </c>
      <c r="F30" s="4" t="str">
        <f aca="false">IF(E30&gt;2,"LATE",IF(E30&lt;-13,"EARLY","IN"))</f>
        <v>IN</v>
      </c>
    </row>
    <row r="31" customFormat="false" ht="15" hidden="false" customHeight="false" outlineLevel="0" collapsed="false">
      <c r="A31" s="4" t="n">
        <v>28</v>
      </c>
      <c r="B31" s="4" t="n">
        <v>105</v>
      </c>
      <c r="C31" s="4" t="n">
        <v>149</v>
      </c>
      <c r="D31" s="6" t="n">
        <v>148.759794768666</v>
      </c>
      <c r="E31" s="6" t="n">
        <f aca="false">D31-C31</f>
        <v>-0.240205231333789</v>
      </c>
      <c r="F31" s="4" t="str">
        <f aca="false">IF(E31&gt;2,"LATE",IF(E31&lt;-13,"EARLY","IN"))</f>
        <v>IN</v>
      </c>
    </row>
    <row r="32" customFormat="false" ht="15" hidden="false" customHeight="false" outlineLevel="0" collapsed="false">
      <c r="A32" s="4" t="n">
        <v>29</v>
      </c>
      <c r="B32" s="4" t="n">
        <v>115</v>
      </c>
      <c r="C32" s="4" t="n">
        <v>260</v>
      </c>
      <c r="D32" s="6" t="n">
        <v>253.76023422286</v>
      </c>
      <c r="E32" s="6" t="n">
        <f aca="false">D32-C32</f>
        <v>-6.23976577714049</v>
      </c>
      <c r="F32" s="4" t="str">
        <f aca="false">IF(E32&gt;2,"LATE",IF(E32&lt;-13,"EARLY","IN"))</f>
        <v>IN</v>
      </c>
    </row>
    <row r="33" customFormat="false" ht="15" hidden="false" customHeight="false" outlineLevel="0" collapsed="false">
      <c r="A33" s="4" t="n">
        <v>30</v>
      </c>
      <c r="B33" s="4" t="n">
        <v>126</v>
      </c>
      <c r="C33" s="4" t="n">
        <v>241</v>
      </c>
      <c r="D33" s="6" t="n">
        <v>243.772580111534</v>
      </c>
      <c r="E33" s="6" t="n">
        <f aca="false">D33-C33</f>
        <v>2.7725801115337</v>
      </c>
      <c r="F33" s="4" t="str">
        <f aca="false">IF(E33&gt;2,"LATE",IF(E33&lt;-13,"EARLY","IN"))</f>
        <v>LATE</v>
      </c>
    </row>
    <row r="34" customFormat="false" ht="15" hidden="false" customHeight="false" outlineLevel="0" collapsed="false">
      <c r="A34" s="4" t="n">
        <v>31</v>
      </c>
      <c r="B34" s="4" t="n">
        <v>135</v>
      </c>
      <c r="C34" s="4" t="n">
        <v>188</v>
      </c>
      <c r="D34" s="6" t="n">
        <v>186.90083943401</v>
      </c>
      <c r="E34" s="6" t="n">
        <f aca="false">D34-C34</f>
        <v>-1.09916056598991</v>
      </c>
      <c r="F34" s="4" t="str">
        <f aca="false">IF(E34&gt;2,"LATE",IF(E34&lt;-13,"EARLY","IN"))</f>
        <v>IN</v>
      </c>
    </row>
    <row r="35" customFormat="false" ht="15" hidden="false" customHeight="false" outlineLevel="0" collapsed="false">
      <c r="A35" s="4" t="n">
        <v>32</v>
      </c>
      <c r="B35" s="4" t="n">
        <v>141</v>
      </c>
      <c r="C35" s="4" t="n">
        <v>277</v>
      </c>
      <c r="D35" s="6" t="n">
        <v>273.409337686152</v>
      </c>
      <c r="E35" s="6" t="n">
        <f aca="false">D35-C35</f>
        <v>-3.59066231384833</v>
      </c>
      <c r="F35" s="4" t="str">
        <f aca="false">IF(E35&gt;2,"LATE",IF(E35&lt;-13,"EARLY","IN"))</f>
        <v>IN</v>
      </c>
    </row>
    <row r="36" customFormat="false" ht="15" hidden="false" customHeight="false" outlineLevel="0" collapsed="false">
      <c r="A36" s="4" t="n">
        <v>33</v>
      </c>
      <c r="B36" s="4" t="n">
        <v>142</v>
      </c>
      <c r="C36" s="4" t="n">
        <v>215</v>
      </c>
      <c r="D36" s="6" t="n">
        <v>212.236104877354</v>
      </c>
      <c r="E36" s="6" t="n">
        <f aca="false">D36-C36</f>
        <v>-2.76389512264561</v>
      </c>
      <c r="F36" s="4" t="str">
        <f aca="false">IF(E36&gt;2,"LATE",IF(E36&lt;-13,"EARLY","IN"))</f>
        <v>IN</v>
      </c>
    </row>
    <row r="37" customFormat="false" ht="15" hidden="false" customHeight="false" outlineLevel="0" collapsed="false">
      <c r="A37" s="4" t="n">
        <v>34</v>
      </c>
      <c r="B37" s="4" t="n">
        <v>144</v>
      </c>
      <c r="C37" s="4" t="n">
        <v>272</v>
      </c>
      <c r="D37" s="6" t="n">
        <v>269.868949258092</v>
      </c>
      <c r="E37" s="6" t="n">
        <f aca="false">D37-C37</f>
        <v>-2.13105074190759</v>
      </c>
      <c r="F37" s="4" t="str">
        <f aca="false">IF(E37&gt;2,"LATE",IF(E37&lt;-13,"EARLY","IN"))</f>
        <v>IN</v>
      </c>
    </row>
    <row r="38" customFormat="false" ht="15" hidden="false" customHeight="false" outlineLevel="0" collapsed="false">
      <c r="A38" s="4" t="n">
        <v>35</v>
      </c>
      <c r="B38" s="4" t="n">
        <v>149</v>
      </c>
      <c r="C38" s="4" t="n">
        <v>192</v>
      </c>
      <c r="D38" s="6" t="n">
        <v>189.952490414486</v>
      </c>
      <c r="E38" s="6" t="n">
        <f aca="false">D38-C38</f>
        <v>-2.04750958551389</v>
      </c>
      <c r="F38" s="4" t="str">
        <f aca="false">IF(E38&gt;2,"LATE",IF(E38&lt;-13,"EARLY","IN"))</f>
        <v>IN</v>
      </c>
    </row>
    <row r="39" customFormat="false" ht="15" hidden="false" customHeight="false" outlineLevel="0" collapsed="false">
      <c r="A39" s="4" t="n">
        <v>36</v>
      </c>
      <c r="B39" s="4" t="n">
        <v>150</v>
      </c>
      <c r="C39" s="4" t="n">
        <v>175</v>
      </c>
      <c r="D39" s="6" t="n">
        <v>171.813792023089</v>
      </c>
      <c r="E39" s="6" t="n">
        <f aca="false">D39-C39</f>
        <v>-3.18620797691059</v>
      </c>
      <c r="F39" s="4" t="str">
        <f aca="false">IF(E39&gt;2,"LATE",IF(E39&lt;-13,"EARLY","IN"))</f>
        <v>IN</v>
      </c>
    </row>
    <row r="40" customFormat="false" ht="15" hidden="false" customHeight="false" outlineLevel="0" collapsed="false">
      <c r="A40" s="4" t="n">
        <v>37</v>
      </c>
      <c r="B40" s="4" t="n">
        <v>151</v>
      </c>
      <c r="C40" s="4" t="n">
        <v>317</v>
      </c>
      <c r="D40" s="6" t="n">
        <v>307.462288592159</v>
      </c>
      <c r="E40" s="6" t="n">
        <f aca="false">D40-C40</f>
        <v>-9.53771140784141</v>
      </c>
      <c r="F40" s="4" t="str">
        <f aca="false">IF(E40&gt;2,"LATE",IF(E40&lt;-13,"EARLY","IN"))</f>
        <v>IN</v>
      </c>
    </row>
    <row r="41" customFormat="false" ht="15" hidden="false" customHeight="false" outlineLevel="0" collapsed="false">
      <c r="A41" s="4" t="n">
        <v>38</v>
      </c>
      <c r="B41" s="4" t="n">
        <v>153</v>
      </c>
      <c r="C41" s="4" t="n">
        <v>277</v>
      </c>
      <c r="D41" s="6" t="n">
        <v>259.502610128026</v>
      </c>
      <c r="E41" s="6" t="n">
        <f aca="false">D41-C41</f>
        <v>-17.4973898719744</v>
      </c>
      <c r="F41" s="4" t="str">
        <f aca="false">IF(E41&gt;2,"LATE",IF(E41&lt;-13,"EARLY","IN"))</f>
        <v>EARLY</v>
      </c>
    </row>
    <row r="42" customFormat="false" ht="15" hidden="false" customHeight="false" outlineLevel="0" collapsed="false">
      <c r="A42" s="4" t="n">
        <v>39</v>
      </c>
      <c r="B42" s="4" t="n">
        <v>156</v>
      </c>
      <c r="C42" s="4" t="n">
        <v>228</v>
      </c>
      <c r="D42" s="6" t="n">
        <v>225.384390888296</v>
      </c>
      <c r="E42" s="6" t="n">
        <f aca="false">D42-C42</f>
        <v>-2.6156091117042</v>
      </c>
      <c r="F42" s="4" t="str">
        <f aca="false">IF(E42&gt;2,"LATE",IF(E42&lt;-13,"EARLY","IN"))</f>
        <v>IN</v>
      </c>
    </row>
    <row r="43" customFormat="false" ht="15" hidden="false" customHeight="false" outlineLevel="0" collapsed="false">
      <c r="A43" s="4" t="n">
        <v>40</v>
      </c>
      <c r="B43" s="4" t="n">
        <v>168</v>
      </c>
      <c r="C43" s="4" t="n">
        <v>253</v>
      </c>
      <c r="D43" s="6" t="n">
        <v>244.854030721786</v>
      </c>
      <c r="E43" s="6" t="n">
        <f aca="false">D43-C43</f>
        <v>-8.14596927821421</v>
      </c>
      <c r="F43" s="4" t="str">
        <f aca="false">IF(E43&gt;2,"LATE",IF(E43&lt;-13,"EARLY","IN"))</f>
        <v>IN</v>
      </c>
    </row>
    <row r="44" customFormat="false" ht="15" hidden="false" customHeight="false" outlineLevel="0" collapsed="false">
      <c r="A44" s="4" t="n">
        <v>41</v>
      </c>
      <c r="B44" s="4" t="n">
        <v>180</v>
      </c>
      <c r="C44" s="4" t="n">
        <v>200</v>
      </c>
      <c r="D44" s="6" t="n">
        <v>195.842829895988</v>
      </c>
      <c r="E44" s="6" t="n">
        <f aca="false">D44-C44</f>
        <v>-4.15717010401181</v>
      </c>
      <c r="F44" s="4" t="str">
        <f aca="false">IF(E44&gt;2,"LATE",IF(E44&lt;-13,"EARLY","IN"))</f>
        <v>IN</v>
      </c>
    </row>
    <row r="45" customFormat="false" ht="15" hidden="false" customHeight="false" outlineLevel="0" collapsed="false">
      <c r="A45" s="4" t="n">
        <v>42</v>
      </c>
      <c r="B45" s="4" t="n">
        <v>181</v>
      </c>
      <c r="C45" s="4" t="n">
        <v>161</v>
      </c>
      <c r="D45" s="6" t="n">
        <v>157.676895537997</v>
      </c>
      <c r="E45" s="6" t="n">
        <f aca="false">D45-C45</f>
        <v>-3.32310446200259</v>
      </c>
      <c r="F45" s="4" t="str">
        <f aca="false">IF(E45&gt;2,"LATE",IF(E45&lt;-13,"EARLY","IN"))</f>
        <v>IN</v>
      </c>
    </row>
    <row r="46" customFormat="false" ht="15" hidden="false" customHeight="false" outlineLevel="0" collapsed="false">
      <c r="A46" s="4" t="n">
        <v>43</v>
      </c>
      <c r="B46" s="4" t="n">
        <v>187</v>
      </c>
      <c r="C46" s="4" t="n">
        <v>199</v>
      </c>
      <c r="D46" s="6" t="n">
        <v>190.656399332689</v>
      </c>
      <c r="E46" s="6" t="n">
        <f aca="false">D46-C46</f>
        <v>-8.34360066731151</v>
      </c>
      <c r="F46" s="4" t="str">
        <f aca="false">IF(E46&gt;2,"LATE",IF(E46&lt;-13,"EARLY","IN"))</f>
        <v>IN</v>
      </c>
    </row>
    <row r="47" customFormat="false" ht="15" hidden="false" customHeight="false" outlineLevel="0" collapsed="false">
      <c r="A47" s="4" t="n">
        <v>44</v>
      </c>
      <c r="B47" s="4" t="n">
        <v>189</v>
      </c>
      <c r="C47" s="4" t="n">
        <v>242</v>
      </c>
      <c r="D47" s="6" t="n">
        <v>242.691980703733</v>
      </c>
      <c r="E47" s="6" t="n">
        <f aca="false">D47-C47</f>
        <v>0.691980703733293</v>
      </c>
      <c r="F47" s="4" t="str">
        <f aca="false">IF(E47&gt;2,"LATE",IF(E47&lt;-13,"EARLY","IN"))</f>
        <v>IN</v>
      </c>
    </row>
    <row r="48" customFormat="false" ht="15" hidden="false" customHeight="false" outlineLevel="0" collapsed="false">
      <c r="A48" s="4" t="n">
        <v>45</v>
      </c>
      <c r="B48" s="4" t="n">
        <v>193</v>
      </c>
      <c r="C48" s="4" t="n">
        <v>223</v>
      </c>
      <c r="D48" s="6" t="n">
        <v>213.657170367059</v>
      </c>
      <c r="E48" s="6" t="n">
        <f aca="false">D48-C48</f>
        <v>-9.3428296329412</v>
      </c>
      <c r="F48" s="4" t="str">
        <f aca="false">IF(E48&gt;2,"LATE",IF(E48&lt;-13,"EARLY","IN"))</f>
        <v>IN</v>
      </c>
    </row>
    <row r="49" customFormat="false" ht="15" hidden="false" customHeight="false" outlineLevel="0" collapsed="false">
      <c r="A49" s="4" t="n">
        <v>46</v>
      </c>
      <c r="B49" s="4" t="n">
        <v>194</v>
      </c>
      <c r="C49" s="4" t="n">
        <v>246</v>
      </c>
      <c r="D49" s="6" t="n">
        <v>232.014443848603</v>
      </c>
      <c r="E49" s="6" t="n">
        <f aca="false">D49-C49</f>
        <v>-13.9855561513969</v>
      </c>
      <c r="F49" s="4" t="str">
        <f aca="false">IF(E49&gt;2,"LATE",IF(E49&lt;-13,"EARLY","IN"))</f>
        <v>EARLY</v>
      </c>
    </row>
    <row r="50" customFormat="false" ht="15" hidden="false" customHeight="false" outlineLevel="0" collapsed="false">
      <c r="A50" s="4" t="n">
        <v>47</v>
      </c>
      <c r="B50" s="4" t="n">
        <v>195</v>
      </c>
      <c r="C50" s="4" t="n">
        <v>284</v>
      </c>
      <c r="D50" s="6" t="n">
        <v>278.822703828844</v>
      </c>
      <c r="E50" s="6" t="n">
        <f aca="false">D50-C50</f>
        <v>-5.17729617115577</v>
      </c>
      <c r="F50" s="4" t="str">
        <f aca="false">IF(E50&gt;2,"LATE",IF(E50&lt;-13,"EARLY","IN"))</f>
        <v>IN</v>
      </c>
    </row>
    <row r="51" customFormat="false" ht="15" hidden="false" customHeight="false" outlineLevel="0" collapsed="false">
      <c r="A51" s="4" t="n">
        <v>48</v>
      </c>
      <c r="B51" s="4" t="n">
        <v>203</v>
      </c>
      <c r="C51" s="4" t="n">
        <v>225</v>
      </c>
      <c r="D51" s="6" t="n">
        <v>219.022043484243</v>
      </c>
      <c r="E51" s="6" t="n">
        <f aca="false">D51-C51</f>
        <v>-5.9779565157566</v>
      </c>
      <c r="F51" s="4" t="str">
        <f aca="false">IF(E51&gt;2,"LATE",IF(E51&lt;-13,"EARLY","IN"))</f>
        <v>IN</v>
      </c>
    </row>
    <row r="52" customFormat="false" ht="15" hidden="false" customHeight="false" outlineLevel="0" collapsed="false">
      <c r="A52" s="4" t="n">
        <v>49</v>
      </c>
      <c r="B52" s="4" t="n">
        <v>207</v>
      </c>
      <c r="C52" s="4" t="n">
        <v>278</v>
      </c>
      <c r="D52" s="6" t="n">
        <v>273.633920485633</v>
      </c>
      <c r="E52" s="6" t="n">
        <f aca="false">D52-C52</f>
        <v>-4.36607951436702</v>
      </c>
      <c r="F52" s="4" t="str">
        <f aca="false">IF(E52&gt;2,"LATE",IF(E52&lt;-13,"EARLY","IN"))</f>
        <v>IN</v>
      </c>
    </row>
    <row r="53" customFormat="false" ht="15" hidden="false" customHeight="false" outlineLevel="0" collapsed="false">
      <c r="A53" s="4" t="n">
        <v>50</v>
      </c>
      <c r="B53" s="4" t="n">
        <v>213</v>
      </c>
      <c r="C53" s="4" t="n">
        <v>263</v>
      </c>
      <c r="D53" s="6" t="n">
        <v>258.696024078057</v>
      </c>
      <c r="E53" s="6" t="n">
        <f aca="false">D53-C53</f>
        <v>-4.30397592194299</v>
      </c>
      <c r="F53" s="4" t="str">
        <f aca="false">IF(E53&gt;2,"LATE",IF(E53&lt;-13,"EARLY","IN"))</f>
        <v>IN</v>
      </c>
    </row>
    <row r="55" customFormat="false" ht="15" hidden="false" customHeight="false" outlineLevel="0" collapsed="false">
      <c r="A55" s="12" t="s">
        <v>35</v>
      </c>
      <c r="C55" s="12" t="n">
        <f aca="false">COUNTIF(F4:F53,"IN")</f>
        <v>47</v>
      </c>
      <c r="D55" s="13" t="s">
        <v>36</v>
      </c>
    </row>
  </sheetData>
  <conditionalFormatting sqref="F4:F53">
    <cfRule type="cellIs" priority="2" operator="equal" aboveAverage="0" equalAverage="0" bottom="0" percent="0" rank="0" text="" dxfId="0">
      <formula>"IN"</formula>
    </cfRule>
    <cfRule type="cellIs" priority="3" operator="notEqual" aboveAverage="0" equalAverage="0" bottom="0" percent="0" rank="0" text="" dxfId="2">
      <formula>"IN"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6"/>
  </cols>
  <sheetData>
    <row r="1" customFormat="false" ht="45" hidden="false" customHeight="true" outlineLevel="0" collapsed="false">
      <c r="A1" s="3" t="s">
        <v>37</v>
      </c>
      <c r="B1" s="3" t="s">
        <v>30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34</v>
      </c>
      <c r="I1" s="3" t="s">
        <v>43</v>
      </c>
    </row>
    <row r="2" customFormat="false" ht="15" hidden="false" customHeight="false" outlineLevel="0" collapsed="false">
      <c r="A2" s="4" t="n">
        <v>1</v>
      </c>
      <c r="B2" s="4" t="n">
        <v>3</v>
      </c>
      <c r="C2" s="4" t="n">
        <v>150</v>
      </c>
      <c r="D2" s="4" t="n">
        <v>138</v>
      </c>
      <c r="E2" s="6" t="n">
        <v>13.7047091117512</v>
      </c>
      <c r="F2" s="6" t="n">
        <f aca="false">D2+E2</f>
        <v>151.704709111751</v>
      </c>
      <c r="G2" s="6" t="n">
        <f aca="false">F2-C2</f>
        <v>1.70470911175119</v>
      </c>
      <c r="H2" s="4" t="str">
        <f aca="false">IF(G2&gt;2,"LATE",IF(G2&lt;-13,"EARLY","IN"))</f>
        <v>IN</v>
      </c>
      <c r="I2" s="4" t="n">
        <f aca="false">C2-D2</f>
        <v>12</v>
      </c>
    </row>
    <row r="3" customFormat="false" ht="15" hidden="false" customHeight="false" outlineLevel="0" collapsed="false">
      <c r="A3" s="4" t="n">
        <v>1</v>
      </c>
      <c r="B3" s="4" t="n">
        <v>13</v>
      </c>
      <c r="C3" s="4" t="n">
        <v>210</v>
      </c>
      <c r="D3" s="4" t="n">
        <v>190</v>
      </c>
      <c r="E3" s="6" t="n">
        <v>13.9623301880628</v>
      </c>
      <c r="F3" s="6" t="n">
        <f aca="false">D3+E3</f>
        <v>203.962330188063</v>
      </c>
      <c r="G3" s="6" t="n">
        <f aca="false">F3-C3</f>
        <v>-6.03766981193721</v>
      </c>
      <c r="H3" s="4" t="str">
        <f aca="false">IF(G3&gt;2,"LATE",IF(G3&lt;-13,"EARLY","IN"))</f>
        <v>IN</v>
      </c>
      <c r="I3" s="4" t="n">
        <f aca="false">C3-D3</f>
        <v>20</v>
      </c>
    </row>
    <row r="4" customFormat="false" ht="15" hidden="false" customHeight="false" outlineLevel="0" collapsed="false">
      <c r="A4" s="4" t="n">
        <v>1</v>
      </c>
      <c r="B4" s="4" t="n">
        <v>14</v>
      </c>
      <c r="C4" s="4" t="n">
        <v>147</v>
      </c>
      <c r="D4" s="4" t="n">
        <v>132</v>
      </c>
      <c r="E4" s="6" t="n">
        <v>13.5373270341694</v>
      </c>
      <c r="F4" s="6" t="n">
        <f aca="false">D4+E4</f>
        <v>145.537327034169</v>
      </c>
      <c r="G4" s="6" t="n">
        <f aca="false">F4-C4</f>
        <v>-1.46267296583065</v>
      </c>
      <c r="H4" s="4" t="str">
        <f aca="false">IF(G4&gt;2,"LATE",IF(G4&lt;-13,"EARLY","IN"))</f>
        <v>IN</v>
      </c>
      <c r="I4" s="4" t="n">
        <f aca="false">C4-D4</f>
        <v>15</v>
      </c>
    </row>
    <row r="5" customFormat="false" ht="15" hidden="false" customHeight="false" outlineLevel="0" collapsed="false">
      <c r="A5" s="4" t="n">
        <v>1</v>
      </c>
      <c r="B5" s="4" t="n">
        <v>18</v>
      </c>
      <c r="C5" s="4" t="n">
        <v>196</v>
      </c>
      <c r="D5" s="4" t="n">
        <v>179</v>
      </c>
      <c r="E5" s="6" t="n">
        <v>12.2552273049603</v>
      </c>
      <c r="F5" s="6" t="n">
        <f aca="false">D5+E5</f>
        <v>191.25522730496</v>
      </c>
      <c r="G5" s="6" t="n">
        <f aca="false">F5-C5</f>
        <v>-4.7447726950397</v>
      </c>
      <c r="H5" s="4" t="str">
        <f aca="false">IF(G5&gt;2,"LATE",IF(G5&lt;-13,"EARLY","IN"))</f>
        <v>IN</v>
      </c>
      <c r="I5" s="4" t="n">
        <f aca="false">C5-D5</f>
        <v>17</v>
      </c>
    </row>
    <row r="6" customFormat="false" ht="15" hidden="false" customHeight="false" outlineLevel="0" collapsed="false">
      <c r="A6" s="4" t="n">
        <v>1</v>
      </c>
      <c r="B6" s="4" t="n">
        <v>19</v>
      </c>
      <c r="C6" s="4" t="n">
        <v>167</v>
      </c>
      <c r="D6" s="4" t="n">
        <v>149</v>
      </c>
      <c r="E6" s="6" t="n">
        <v>12.4662822412734</v>
      </c>
      <c r="F6" s="6" t="n">
        <f aca="false">D6+E6</f>
        <v>161.466282241273</v>
      </c>
      <c r="G6" s="6" t="n">
        <f aca="false">F6-C6</f>
        <v>-5.53371775872657</v>
      </c>
      <c r="H6" s="4" t="str">
        <f aca="false">IF(G6&gt;2,"LATE",IF(G6&lt;-13,"EARLY","IN"))</f>
        <v>IN</v>
      </c>
      <c r="I6" s="4" t="n">
        <f aca="false">C6-D6</f>
        <v>18</v>
      </c>
    </row>
    <row r="7" customFormat="false" ht="15" hidden="false" customHeight="false" outlineLevel="0" collapsed="false">
      <c r="A7" s="4" t="n">
        <v>1</v>
      </c>
      <c r="B7" s="4" t="n">
        <v>20</v>
      </c>
      <c r="C7" s="4" t="n">
        <v>154</v>
      </c>
      <c r="D7" s="4" t="n">
        <v>140</v>
      </c>
      <c r="E7" s="6" t="n">
        <v>15.2797976468839</v>
      </c>
      <c r="F7" s="6" t="n">
        <f aca="false">D7+E7</f>
        <v>155.279797646884</v>
      </c>
      <c r="G7" s="6" t="n">
        <f aca="false">F7-C7</f>
        <v>1.27979764688388</v>
      </c>
      <c r="H7" s="4" t="str">
        <f aca="false">IF(G7&gt;2,"LATE",IF(G7&lt;-13,"EARLY","IN"))</f>
        <v>IN</v>
      </c>
      <c r="I7" s="4" t="n">
        <f aca="false">C7-D7</f>
        <v>14</v>
      </c>
    </row>
    <row r="8" customFormat="false" ht="15" hidden="false" customHeight="false" outlineLevel="0" collapsed="false">
      <c r="A8" s="4" t="n">
        <v>1</v>
      </c>
      <c r="B8" s="4" t="n">
        <v>22</v>
      </c>
      <c r="C8" s="4" t="n">
        <v>203</v>
      </c>
      <c r="D8" s="4" t="n">
        <v>179</v>
      </c>
      <c r="E8" s="6" t="n">
        <v>12.3117760124886</v>
      </c>
      <c r="F8" s="6" t="n">
        <f aca="false">D8+E8</f>
        <v>191.311776012489</v>
      </c>
      <c r="G8" s="6" t="n">
        <f aca="false">F8-C8</f>
        <v>-11.6882239875114</v>
      </c>
      <c r="H8" s="4" t="str">
        <f aca="false">IF(G8&gt;2,"LATE",IF(G8&lt;-13,"EARLY","IN"))</f>
        <v>IN</v>
      </c>
      <c r="I8" s="4" t="n">
        <f aca="false">C8-D8</f>
        <v>24</v>
      </c>
    </row>
    <row r="9" customFormat="false" ht="15" hidden="false" customHeight="false" outlineLevel="0" collapsed="false">
      <c r="A9" s="4" t="n">
        <v>1</v>
      </c>
      <c r="B9" s="4" t="n">
        <v>24</v>
      </c>
      <c r="C9" s="4" t="n">
        <v>191</v>
      </c>
      <c r="D9" s="4" t="n">
        <v>172</v>
      </c>
      <c r="E9" s="6" t="n">
        <v>15.2998263756563</v>
      </c>
      <c r="F9" s="6" t="n">
        <f aca="false">D9+E9</f>
        <v>187.299826375656</v>
      </c>
      <c r="G9" s="6" t="n">
        <f aca="false">F9-C9</f>
        <v>-3.70017362434368</v>
      </c>
      <c r="H9" s="4" t="str">
        <f aca="false">IF(G9&gt;2,"LATE",IF(G9&lt;-13,"EARLY","IN"))</f>
        <v>IN</v>
      </c>
      <c r="I9" s="4" t="n">
        <f aca="false">C9-D9</f>
        <v>19</v>
      </c>
    </row>
    <row r="10" customFormat="false" ht="15" hidden="false" customHeight="false" outlineLevel="0" collapsed="false">
      <c r="A10" s="4" t="n">
        <v>1</v>
      </c>
      <c r="B10" s="4" t="n">
        <v>26</v>
      </c>
      <c r="C10" s="4" t="n">
        <v>210</v>
      </c>
      <c r="D10" s="4" t="n">
        <v>192</v>
      </c>
      <c r="E10" s="6" t="n">
        <v>13.9623410371744</v>
      </c>
      <c r="F10" s="6" t="n">
        <f aca="false">D10+E10</f>
        <v>205.962341037174</v>
      </c>
      <c r="G10" s="6" t="n">
        <f aca="false">F10-C10</f>
        <v>-4.03765896282562</v>
      </c>
      <c r="H10" s="4" t="str">
        <f aca="false">IF(G10&gt;2,"LATE",IF(G10&lt;-13,"EARLY","IN"))</f>
        <v>IN</v>
      </c>
      <c r="I10" s="4" t="n">
        <f aca="false">C10-D10</f>
        <v>18</v>
      </c>
    </row>
    <row r="11" customFormat="false" ht="15" hidden="false" customHeight="false" outlineLevel="0" collapsed="false">
      <c r="A11" s="4" t="n">
        <v>1</v>
      </c>
      <c r="B11" s="4" t="n">
        <v>29</v>
      </c>
      <c r="C11" s="4" t="n">
        <v>228</v>
      </c>
      <c r="D11" s="4" t="n">
        <v>212</v>
      </c>
      <c r="E11" s="6" t="n">
        <v>15.9129706387952</v>
      </c>
      <c r="F11" s="6" t="n">
        <f aca="false">D11+E11</f>
        <v>227.912970638795</v>
      </c>
      <c r="G11" s="6" t="n">
        <f aca="false">F11-C11</f>
        <v>-0.0870293612048272</v>
      </c>
      <c r="H11" s="4" t="str">
        <f aca="false">IF(G11&gt;2,"LATE",IF(G11&lt;-13,"EARLY","IN"))</f>
        <v>IN</v>
      </c>
      <c r="I11" s="4" t="n">
        <f aca="false">C11-D11</f>
        <v>16</v>
      </c>
    </row>
    <row r="12" customFormat="false" ht="15" hidden="false" customHeight="false" outlineLevel="0" collapsed="false">
      <c r="A12" s="4" t="n">
        <v>1</v>
      </c>
      <c r="B12" s="4" t="n">
        <v>32</v>
      </c>
      <c r="C12" s="4" t="n">
        <v>193</v>
      </c>
      <c r="D12" s="4" t="n">
        <v>178</v>
      </c>
      <c r="E12" s="6" t="n">
        <v>16.4277707754087</v>
      </c>
      <c r="F12" s="6" t="n">
        <f aca="false">D12+E12</f>
        <v>194.427770775409</v>
      </c>
      <c r="G12" s="6" t="n">
        <f aca="false">F12-C12</f>
        <v>1.42777077540867</v>
      </c>
      <c r="H12" s="4" t="str">
        <f aca="false">IF(G12&gt;2,"LATE",IF(G12&lt;-13,"EARLY","IN"))</f>
        <v>IN</v>
      </c>
      <c r="I12" s="4" t="n">
        <f aca="false">C12-D12</f>
        <v>15</v>
      </c>
    </row>
    <row r="13" customFormat="false" ht="15" hidden="false" customHeight="false" outlineLevel="0" collapsed="false">
      <c r="A13" s="4" t="n">
        <v>1</v>
      </c>
      <c r="B13" s="4" t="n">
        <v>33</v>
      </c>
      <c r="C13" s="4" t="n">
        <v>286</v>
      </c>
      <c r="D13" s="4" t="n">
        <v>268</v>
      </c>
      <c r="E13" s="6" t="n">
        <v>12.5822717253641</v>
      </c>
      <c r="F13" s="6" t="n">
        <f aca="false">D13+E13</f>
        <v>280.582271725364</v>
      </c>
      <c r="G13" s="6" t="n">
        <f aca="false">F13-C13</f>
        <v>-5.41772827463592</v>
      </c>
      <c r="H13" s="4" t="str">
        <f aca="false">IF(G13&gt;2,"LATE",IF(G13&lt;-13,"EARLY","IN"))</f>
        <v>IN</v>
      </c>
      <c r="I13" s="4" t="n">
        <f aca="false">C13-D13</f>
        <v>18</v>
      </c>
    </row>
    <row r="14" customFormat="false" ht="15" hidden="false" customHeight="false" outlineLevel="0" collapsed="false">
      <c r="A14" s="4" t="n">
        <v>1</v>
      </c>
      <c r="B14" s="4" t="n">
        <v>34</v>
      </c>
      <c r="C14" s="4" t="n">
        <v>286</v>
      </c>
      <c r="D14" s="4" t="n">
        <v>263</v>
      </c>
      <c r="E14" s="6" t="n">
        <v>16.798498367102</v>
      </c>
      <c r="F14" s="6" t="n">
        <f aca="false">D14+E14</f>
        <v>279.798498367102</v>
      </c>
      <c r="G14" s="6" t="n">
        <f aca="false">F14-C14</f>
        <v>-6.20150163289793</v>
      </c>
      <c r="H14" s="4" t="str">
        <f aca="false">IF(G14&gt;2,"LATE",IF(G14&lt;-13,"EARLY","IN"))</f>
        <v>IN</v>
      </c>
      <c r="I14" s="4" t="n">
        <f aca="false">C14-D14</f>
        <v>23</v>
      </c>
    </row>
    <row r="15" customFormat="false" ht="15" hidden="false" customHeight="false" outlineLevel="0" collapsed="false">
      <c r="A15" s="4" t="n">
        <v>1</v>
      </c>
      <c r="B15" s="4" t="n">
        <v>37</v>
      </c>
      <c r="C15" s="4" t="n">
        <v>177</v>
      </c>
      <c r="D15" s="4" t="n">
        <v>148</v>
      </c>
      <c r="E15" s="6" t="n">
        <v>18.7592034228441</v>
      </c>
      <c r="F15" s="6" t="n">
        <f aca="false">D15+E15</f>
        <v>166.759203422844</v>
      </c>
      <c r="G15" s="6" t="n">
        <f aca="false">F15-C15</f>
        <v>-10.2407965771559</v>
      </c>
      <c r="H15" s="4" t="str">
        <f aca="false">IF(G15&gt;2,"LATE",IF(G15&lt;-13,"EARLY","IN"))</f>
        <v>IN</v>
      </c>
      <c r="I15" s="4" t="n">
        <f aca="false">C15-D15</f>
        <v>29</v>
      </c>
    </row>
    <row r="16" customFormat="false" ht="15" hidden="false" customHeight="false" outlineLevel="0" collapsed="false">
      <c r="A16" s="4" t="n">
        <v>1</v>
      </c>
      <c r="B16" s="4" t="n">
        <v>42</v>
      </c>
      <c r="C16" s="4" t="n">
        <v>241</v>
      </c>
      <c r="D16" s="4" t="n">
        <v>213</v>
      </c>
      <c r="E16" s="6" t="n">
        <v>17.248722303615</v>
      </c>
      <c r="F16" s="6" t="n">
        <f aca="false">D16+E16</f>
        <v>230.248722303615</v>
      </c>
      <c r="G16" s="6" t="n">
        <f aca="false">F16-C16</f>
        <v>-10.751277696385</v>
      </c>
      <c r="H16" s="4" t="str">
        <f aca="false">IF(G16&gt;2,"LATE",IF(G16&lt;-13,"EARLY","IN"))</f>
        <v>IN</v>
      </c>
      <c r="I16" s="4" t="n">
        <f aca="false">C16-D16</f>
        <v>28</v>
      </c>
    </row>
    <row r="17" customFormat="false" ht="15" hidden="false" customHeight="false" outlineLevel="0" collapsed="false">
      <c r="A17" s="4" t="n">
        <v>1</v>
      </c>
      <c r="B17" s="4" t="n">
        <v>43</v>
      </c>
      <c r="C17" s="4" t="n">
        <v>209</v>
      </c>
      <c r="D17" s="4" t="n">
        <v>194</v>
      </c>
      <c r="E17" s="6" t="n">
        <v>13.6769965561177</v>
      </c>
      <c r="F17" s="6" t="n">
        <f aca="false">D17+E17</f>
        <v>207.676996556118</v>
      </c>
      <c r="G17" s="6" t="n">
        <f aca="false">F17-C17</f>
        <v>-1.32300344388227</v>
      </c>
      <c r="H17" s="4" t="str">
        <f aca="false">IF(G17&gt;2,"LATE",IF(G17&lt;-13,"EARLY","IN"))</f>
        <v>IN</v>
      </c>
      <c r="I17" s="4" t="n">
        <f aca="false">C17-D17</f>
        <v>15</v>
      </c>
    </row>
    <row r="18" customFormat="false" ht="15" hidden="false" customHeight="false" outlineLevel="0" collapsed="false">
      <c r="A18" s="4" t="n">
        <v>1</v>
      </c>
      <c r="B18" s="4" t="n">
        <v>50</v>
      </c>
      <c r="C18" s="4" t="n">
        <v>223</v>
      </c>
      <c r="D18" s="4" t="n">
        <v>204</v>
      </c>
      <c r="E18" s="6" t="n">
        <v>13.4019692354356</v>
      </c>
      <c r="F18" s="6" t="n">
        <f aca="false">D18+E18</f>
        <v>217.401969235436</v>
      </c>
      <c r="G18" s="6" t="n">
        <f aca="false">F18-C18</f>
        <v>-5.59803076456439</v>
      </c>
      <c r="H18" s="4" t="str">
        <f aca="false">IF(G18&gt;2,"LATE",IF(G18&lt;-13,"EARLY","IN"))</f>
        <v>IN</v>
      </c>
      <c r="I18" s="4" t="n">
        <f aca="false">C18-D18</f>
        <v>19</v>
      </c>
    </row>
    <row r="19" customFormat="false" ht="15" hidden="false" customHeight="false" outlineLevel="0" collapsed="false">
      <c r="A19" s="4" t="n">
        <v>1</v>
      </c>
      <c r="B19" s="4" t="n">
        <v>51</v>
      </c>
      <c r="C19" s="4" t="n">
        <v>182</v>
      </c>
      <c r="D19" s="4" t="n">
        <v>164</v>
      </c>
      <c r="E19" s="6" t="n">
        <v>16.2955293596311</v>
      </c>
      <c r="F19" s="6" t="n">
        <f aca="false">D19+E19</f>
        <v>180.295529359631</v>
      </c>
      <c r="G19" s="6" t="n">
        <f aca="false">F19-C19</f>
        <v>-1.70447064036892</v>
      </c>
      <c r="H19" s="4" t="str">
        <f aca="false">IF(G19&gt;2,"LATE",IF(G19&lt;-13,"EARLY","IN"))</f>
        <v>IN</v>
      </c>
      <c r="I19" s="4" t="n">
        <f aca="false">C19-D19</f>
        <v>18</v>
      </c>
    </row>
    <row r="20" customFormat="false" ht="15" hidden="false" customHeight="false" outlineLevel="0" collapsed="false">
      <c r="A20" s="4" t="n">
        <v>1</v>
      </c>
      <c r="B20" s="4" t="n">
        <v>56</v>
      </c>
      <c r="C20" s="4" t="n">
        <v>162</v>
      </c>
      <c r="D20" s="4" t="n">
        <v>147</v>
      </c>
      <c r="E20" s="6" t="n">
        <v>15.6436620088249</v>
      </c>
      <c r="F20" s="6" t="n">
        <f aca="false">D20+E20</f>
        <v>162.643662008825</v>
      </c>
      <c r="G20" s="6" t="n">
        <f aca="false">F20-C20</f>
        <v>0.643662008824919</v>
      </c>
      <c r="H20" s="4" t="str">
        <f aca="false">IF(G20&gt;2,"LATE",IF(G20&lt;-13,"EARLY","IN"))</f>
        <v>IN</v>
      </c>
      <c r="I20" s="4" t="n">
        <f aca="false">C20-D20</f>
        <v>15</v>
      </c>
    </row>
    <row r="21" customFormat="false" ht="15" hidden="false" customHeight="false" outlineLevel="0" collapsed="false">
      <c r="A21" s="4" t="n">
        <v>1</v>
      </c>
      <c r="B21" s="4" t="n">
        <v>57</v>
      </c>
      <c r="C21" s="4" t="n">
        <v>150</v>
      </c>
      <c r="D21" s="4" t="n">
        <v>130</v>
      </c>
      <c r="E21" s="6" t="n">
        <v>13.6042187138825</v>
      </c>
      <c r="F21" s="6" t="n">
        <f aca="false">D21+E21</f>
        <v>143.604218713883</v>
      </c>
      <c r="G21" s="6" t="n">
        <f aca="false">F21-C21</f>
        <v>-6.39578128611746</v>
      </c>
      <c r="H21" s="4" t="str">
        <f aca="false">IF(G21&gt;2,"LATE",IF(G21&lt;-13,"EARLY","IN"))</f>
        <v>IN</v>
      </c>
      <c r="I21" s="4" t="n">
        <f aca="false">C21-D21</f>
        <v>20</v>
      </c>
    </row>
    <row r="22" customFormat="false" ht="15" hidden="false" customHeight="false" outlineLevel="0" collapsed="false">
      <c r="A22" s="4" t="n">
        <v>1</v>
      </c>
      <c r="B22" s="4" t="n">
        <v>69</v>
      </c>
      <c r="C22" s="4" t="n">
        <v>170</v>
      </c>
      <c r="D22" s="4" t="n">
        <v>158</v>
      </c>
      <c r="E22" s="6" t="n">
        <v>13.4907170685795</v>
      </c>
      <c r="F22" s="6" t="n">
        <f aca="false">D22+E22</f>
        <v>171.49071706858</v>
      </c>
      <c r="G22" s="6" t="n">
        <f aca="false">F22-C22</f>
        <v>1.4907170685795</v>
      </c>
      <c r="H22" s="4" t="str">
        <f aca="false">IF(G22&gt;2,"LATE",IF(G22&lt;-13,"EARLY","IN"))</f>
        <v>IN</v>
      </c>
      <c r="I22" s="4" t="n">
        <f aca="false">C22-D22</f>
        <v>12</v>
      </c>
    </row>
    <row r="23" customFormat="false" ht="15" hidden="false" customHeight="false" outlineLevel="0" collapsed="false">
      <c r="A23" s="4" t="n">
        <v>1</v>
      </c>
      <c r="B23" s="4" t="n">
        <v>73</v>
      </c>
      <c r="C23" s="4" t="n">
        <v>249</v>
      </c>
      <c r="D23" s="4" t="n">
        <v>229</v>
      </c>
      <c r="E23" s="6" t="n">
        <v>12.9218795324627</v>
      </c>
      <c r="F23" s="6" t="n">
        <f aca="false">D23+E23</f>
        <v>241.921879532463</v>
      </c>
      <c r="G23" s="6" t="n">
        <f aca="false">F23-C23</f>
        <v>-7.07812046753733</v>
      </c>
      <c r="H23" s="4" t="str">
        <f aca="false">IF(G23&gt;2,"LATE",IF(G23&lt;-13,"EARLY","IN"))</f>
        <v>IN</v>
      </c>
      <c r="I23" s="4" t="n">
        <f aca="false">C23-D23</f>
        <v>20</v>
      </c>
    </row>
    <row r="24" customFormat="false" ht="15" hidden="false" customHeight="false" outlineLevel="0" collapsed="false">
      <c r="A24" s="4" t="n">
        <v>1</v>
      </c>
      <c r="B24" s="4" t="n">
        <v>78</v>
      </c>
      <c r="C24" s="4" t="n">
        <v>228</v>
      </c>
      <c r="D24" s="4" t="n">
        <v>201</v>
      </c>
      <c r="E24" s="6" t="n">
        <v>14.0406956715367</v>
      </c>
      <c r="F24" s="6" t="n">
        <f aca="false">D24+E24</f>
        <v>215.040695671537</v>
      </c>
      <c r="G24" s="6" t="n">
        <f aca="false">F24-C24</f>
        <v>-12.9593043284633</v>
      </c>
      <c r="H24" s="4" t="str">
        <f aca="false">IF(G24&gt;2,"LATE",IF(G24&lt;-13,"EARLY","IN"))</f>
        <v>IN</v>
      </c>
      <c r="I24" s="4" t="n">
        <f aca="false">C24-D24</f>
        <v>27</v>
      </c>
    </row>
    <row r="25" customFormat="false" ht="15" hidden="false" customHeight="false" outlineLevel="0" collapsed="false">
      <c r="A25" s="4" t="n">
        <v>1</v>
      </c>
      <c r="B25" s="4" t="n">
        <v>79</v>
      </c>
      <c r="C25" s="4" t="n">
        <v>225</v>
      </c>
      <c r="D25" s="4" t="n">
        <v>200</v>
      </c>
      <c r="E25" s="6" t="n">
        <v>14.9074674471339</v>
      </c>
      <c r="F25" s="6" t="n">
        <f aca="false">D25+E25</f>
        <v>214.907467447134</v>
      </c>
      <c r="G25" s="6" t="n">
        <f aca="false">F25-C25</f>
        <v>-10.0925325528661</v>
      </c>
      <c r="H25" s="4" t="str">
        <f aca="false">IF(G25&gt;2,"LATE",IF(G25&lt;-13,"EARLY","IN"))</f>
        <v>IN</v>
      </c>
      <c r="I25" s="4" t="n">
        <f aca="false">C25-D25</f>
        <v>25</v>
      </c>
    </row>
    <row r="26" customFormat="false" ht="15" hidden="false" customHeight="false" outlineLevel="0" collapsed="false">
      <c r="A26" s="4" t="n">
        <v>1</v>
      </c>
      <c r="B26" s="4" t="n">
        <v>88</v>
      </c>
      <c r="C26" s="4" t="n">
        <v>134</v>
      </c>
      <c r="D26" s="4" t="n">
        <v>118</v>
      </c>
      <c r="E26" s="6" t="n">
        <v>15.3963801268729</v>
      </c>
      <c r="F26" s="6" t="n">
        <f aca="false">D26+E26</f>
        <v>133.396380126873</v>
      </c>
      <c r="G26" s="6" t="n">
        <f aca="false">F26-C26</f>
        <v>-0.603619873127059</v>
      </c>
      <c r="H26" s="4" t="str">
        <f aca="false">IF(G26&gt;2,"LATE",IF(G26&lt;-13,"EARLY","IN"))</f>
        <v>IN</v>
      </c>
      <c r="I26" s="4" t="n">
        <f aca="false">C26-D26</f>
        <v>16</v>
      </c>
    </row>
    <row r="27" customFormat="false" ht="15" hidden="false" customHeight="false" outlineLevel="0" collapsed="false">
      <c r="A27" s="4" t="n">
        <v>1</v>
      </c>
      <c r="B27" s="4" t="n">
        <v>95</v>
      </c>
      <c r="C27" s="4" t="n">
        <v>234</v>
      </c>
      <c r="D27" s="4" t="n">
        <v>215</v>
      </c>
      <c r="E27" s="6" t="n">
        <v>11.746481942706</v>
      </c>
      <c r="F27" s="6" t="n">
        <f aca="false">D27+E27</f>
        <v>226.746481942706</v>
      </c>
      <c r="G27" s="6" t="n">
        <f aca="false">F27-C27</f>
        <v>-7.253518057294</v>
      </c>
      <c r="H27" s="4" t="str">
        <f aca="false">IF(G27&gt;2,"LATE",IF(G27&lt;-13,"EARLY","IN"))</f>
        <v>IN</v>
      </c>
      <c r="I27" s="4" t="n">
        <f aca="false">C27-D27</f>
        <v>19</v>
      </c>
    </row>
    <row r="28" customFormat="false" ht="15" hidden="false" customHeight="false" outlineLevel="0" collapsed="false">
      <c r="A28" s="4" t="n">
        <v>1</v>
      </c>
      <c r="B28" s="4" t="n">
        <v>98</v>
      </c>
      <c r="C28" s="4" t="n">
        <v>206</v>
      </c>
      <c r="D28" s="4" t="n">
        <v>193</v>
      </c>
      <c r="E28" s="6" t="n">
        <v>11.9555237175054</v>
      </c>
      <c r="F28" s="6" t="n">
        <f aca="false">D28+E28</f>
        <v>204.955523717505</v>
      </c>
      <c r="G28" s="6" t="n">
        <f aca="false">F28-C28</f>
        <v>-1.04447628249457</v>
      </c>
      <c r="H28" s="4" t="str">
        <f aca="false">IF(G28&gt;2,"LATE",IF(G28&lt;-13,"EARLY","IN"))</f>
        <v>IN</v>
      </c>
      <c r="I28" s="4" t="n">
        <f aca="false">C28-D28</f>
        <v>13</v>
      </c>
    </row>
    <row r="29" customFormat="false" ht="15" hidden="false" customHeight="false" outlineLevel="0" collapsed="false">
      <c r="A29" s="4" t="n">
        <v>1</v>
      </c>
      <c r="B29" s="4" t="n">
        <v>105</v>
      </c>
      <c r="C29" s="4" t="n">
        <v>149</v>
      </c>
      <c r="D29" s="4" t="n">
        <v>135</v>
      </c>
      <c r="E29" s="6" t="n">
        <v>13.7597947686662</v>
      </c>
      <c r="F29" s="6" t="n">
        <f aca="false">D29+E29</f>
        <v>148.759794768666</v>
      </c>
      <c r="G29" s="6" t="n">
        <f aca="false">F29-C29</f>
        <v>-0.240205231333761</v>
      </c>
      <c r="H29" s="4" t="str">
        <f aca="false">IF(G29&gt;2,"LATE",IF(G29&lt;-13,"EARLY","IN"))</f>
        <v>IN</v>
      </c>
      <c r="I29" s="4" t="n">
        <f aca="false">C29-D29</f>
        <v>14</v>
      </c>
    </row>
    <row r="30" customFormat="false" ht="15" hidden="false" customHeight="false" outlineLevel="0" collapsed="false">
      <c r="A30" s="4" t="n">
        <v>1</v>
      </c>
      <c r="B30" s="4" t="n">
        <v>115</v>
      </c>
      <c r="C30" s="4" t="n">
        <v>260</v>
      </c>
      <c r="D30" s="4" t="n">
        <v>239</v>
      </c>
      <c r="E30" s="6" t="n">
        <v>14.7602342228595</v>
      </c>
      <c r="F30" s="6" t="n">
        <f aca="false">D30+E30</f>
        <v>253.76023422286</v>
      </c>
      <c r="G30" s="6" t="n">
        <f aca="false">F30-C30</f>
        <v>-6.23976577714049</v>
      </c>
      <c r="H30" s="4" t="str">
        <f aca="false">IF(G30&gt;2,"LATE",IF(G30&lt;-13,"EARLY","IN"))</f>
        <v>IN</v>
      </c>
      <c r="I30" s="4" t="n">
        <f aca="false">C30-D30</f>
        <v>21</v>
      </c>
    </row>
    <row r="31" customFormat="false" ht="15" hidden="false" customHeight="false" outlineLevel="0" collapsed="false">
      <c r="A31" s="4" t="n">
        <v>1</v>
      </c>
      <c r="B31" s="4" t="n">
        <v>126</v>
      </c>
      <c r="C31" s="4" t="n">
        <v>241</v>
      </c>
      <c r="D31" s="4" t="n">
        <v>226</v>
      </c>
      <c r="E31" s="6" t="n">
        <v>17.7725801115337</v>
      </c>
      <c r="F31" s="6" t="n">
        <f aca="false">D31+E31</f>
        <v>243.772580111534</v>
      </c>
      <c r="G31" s="6" t="n">
        <f aca="false">F31-C31</f>
        <v>2.77258011153373</v>
      </c>
      <c r="H31" s="4" t="str">
        <f aca="false">IF(G31&gt;2,"LATE",IF(G31&lt;-13,"EARLY","IN"))</f>
        <v>LATE</v>
      </c>
      <c r="I31" s="4" t="n">
        <f aca="false">C31-D31</f>
        <v>15</v>
      </c>
    </row>
    <row r="32" customFormat="false" ht="15" hidden="false" customHeight="false" outlineLevel="0" collapsed="false">
      <c r="A32" s="4" t="n">
        <v>1</v>
      </c>
      <c r="B32" s="4" t="n">
        <v>135</v>
      </c>
      <c r="C32" s="4" t="n">
        <v>188</v>
      </c>
      <c r="D32" s="4" t="n">
        <v>172</v>
      </c>
      <c r="E32" s="6" t="n">
        <v>14.9008394340101</v>
      </c>
      <c r="F32" s="6" t="n">
        <f aca="false">D32+E32</f>
        <v>186.90083943401</v>
      </c>
      <c r="G32" s="6" t="n">
        <f aca="false">F32-C32</f>
        <v>-1.09916056598991</v>
      </c>
      <c r="H32" s="4" t="str">
        <f aca="false">IF(G32&gt;2,"LATE",IF(G32&lt;-13,"EARLY","IN"))</f>
        <v>IN</v>
      </c>
      <c r="I32" s="4" t="n">
        <f aca="false">C32-D32</f>
        <v>16</v>
      </c>
    </row>
    <row r="33" customFormat="false" ht="15" hidden="false" customHeight="false" outlineLevel="0" collapsed="false">
      <c r="A33" s="4" t="n">
        <v>1</v>
      </c>
      <c r="B33" s="4" t="n">
        <v>141</v>
      </c>
      <c r="C33" s="4" t="n">
        <v>277</v>
      </c>
      <c r="D33" s="4" t="n">
        <v>258</v>
      </c>
      <c r="E33" s="6" t="n">
        <v>15.4093376861517</v>
      </c>
      <c r="F33" s="6" t="n">
        <f aca="false">D33+E33</f>
        <v>273.409337686152</v>
      </c>
      <c r="G33" s="6" t="n">
        <f aca="false">F33-C33</f>
        <v>-3.59066231384833</v>
      </c>
      <c r="H33" s="4" t="str">
        <f aca="false">IF(G33&gt;2,"LATE",IF(G33&lt;-13,"EARLY","IN"))</f>
        <v>IN</v>
      </c>
      <c r="I33" s="4" t="n">
        <f aca="false">C33-D33</f>
        <v>19</v>
      </c>
    </row>
    <row r="34" customFormat="false" ht="15" hidden="false" customHeight="false" outlineLevel="0" collapsed="false">
      <c r="A34" s="4" t="n">
        <v>1</v>
      </c>
      <c r="B34" s="4" t="n">
        <v>142</v>
      </c>
      <c r="C34" s="4" t="n">
        <v>215</v>
      </c>
      <c r="D34" s="4" t="n">
        <v>199</v>
      </c>
      <c r="E34" s="6" t="n">
        <v>13.2361048773543</v>
      </c>
      <c r="F34" s="6" t="n">
        <f aca="false">D34+E34</f>
        <v>212.236104877354</v>
      </c>
      <c r="G34" s="6" t="n">
        <f aca="false">F34-C34</f>
        <v>-2.76389512264566</v>
      </c>
      <c r="H34" s="4" t="str">
        <f aca="false">IF(G34&gt;2,"LATE",IF(G34&lt;-13,"EARLY","IN"))</f>
        <v>IN</v>
      </c>
      <c r="I34" s="4" t="n">
        <f aca="false">C34-D34</f>
        <v>16</v>
      </c>
    </row>
    <row r="35" customFormat="false" ht="15" hidden="false" customHeight="false" outlineLevel="0" collapsed="false">
      <c r="A35" s="4" t="n">
        <v>1</v>
      </c>
      <c r="B35" s="4" t="n">
        <v>144</v>
      </c>
      <c r="C35" s="4" t="n">
        <v>272</v>
      </c>
      <c r="D35" s="4" t="n">
        <v>256</v>
      </c>
      <c r="E35" s="6" t="n">
        <v>13.8689492580924</v>
      </c>
      <c r="F35" s="6" t="n">
        <f aca="false">D35+E35</f>
        <v>269.868949258092</v>
      </c>
      <c r="G35" s="6" t="n">
        <f aca="false">F35-C35</f>
        <v>-2.13105074190759</v>
      </c>
      <c r="H35" s="4" t="str">
        <f aca="false">IF(G35&gt;2,"LATE",IF(G35&lt;-13,"EARLY","IN"))</f>
        <v>IN</v>
      </c>
      <c r="I35" s="4" t="n">
        <f aca="false">C35-D35</f>
        <v>16</v>
      </c>
    </row>
    <row r="36" customFormat="false" ht="15" hidden="false" customHeight="false" outlineLevel="0" collapsed="false">
      <c r="A36" s="4" t="n">
        <v>1</v>
      </c>
      <c r="B36" s="4" t="n">
        <v>149</v>
      </c>
      <c r="C36" s="4" t="n">
        <v>192</v>
      </c>
      <c r="D36" s="4" t="n">
        <v>172</v>
      </c>
      <c r="E36" s="6" t="n">
        <v>17.9524904144861</v>
      </c>
      <c r="F36" s="6" t="n">
        <f aca="false">D36+E36</f>
        <v>189.952490414486</v>
      </c>
      <c r="G36" s="6" t="n">
        <f aca="false">F36-C36</f>
        <v>-2.04750958551392</v>
      </c>
      <c r="H36" s="4" t="str">
        <f aca="false">IF(G36&gt;2,"LATE",IF(G36&lt;-13,"EARLY","IN"))</f>
        <v>IN</v>
      </c>
      <c r="I36" s="4" t="n">
        <f aca="false">C36-D36</f>
        <v>20</v>
      </c>
    </row>
    <row r="37" customFormat="false" ht="15" hidden="false" customHeight="false" outlineLevel="0" collapsed="false">
      <c r="A37" s="4" t="n">
        <v>1</v>
      </c>
      <c r="B37" s="4" t="n">
        <v>150</v>
      </c>
      <c r="C37" s="4" t="n">
        <v>175</v>
      </c>
      <c r="D37" s="4" t="n">
        <v>157</v>
      </c>
      <c r="E37" s="6" t="n">
        <v>14.8137920230894</v>
      </c>
      <c r="F37" s="6" t="n">
        <f aca="false">D37+E37</f>
        <v>171.813792023089</v>
      </c>
      <c r="G37" s="6" t="n">
        <f aca="false">F37-C37</f>
        <v>-3.18620797691057</v>
      </c>
      <c r="H37" s="4" t="str">
        <f aca="false">IF(G37&gt;2,"LATE",IF(G37&lt;-13,"EARLY","IN"))</f>
        <v>IN</v>
      </c>
      <c r="I37" s="4" t="n">
        <f aca="false">C37-D37</f>
        <v>18</v>
      </c>
    </row>
    <row r="38" customFormat="false" ht="15" hidden="false" customHeight="false" outlineLevel="0" collapsed="false">
      <c r="A38" s="4" t="n">
        <v>1</v>
      </c>
      <c r="B38" s="4" t="n">
        <v>151</v>
      </c>
      <c r="C38" s="4" t="n">
        <v>317</v>
      </c>
      <c r="D38" s="4" t="n">
        <v>295</v>
      </c>
      <c r="E38" s="6" t="n">
        <v>12.4622885921586</v>
      </c>
      <c r="F38" s="6" t="n">
        <f aca="false">D38+E38</f>
        <v>307.462288592159</v>
      </c>
      <c r="G38" s="6" t="n">
        <f aca="false">F38-C38</f>
        <v>-9.53771140784136</v>
      </c>
      <c r="H38" s="4" t="str">
        <f aca="false">IF(G38&gt;2,"LATE",IF(G38&lt;-13,"EARLY","IN"))</f>
        <v>IN</v>
      </c>
      <c r="I38" s="4" t="n">
        <f aca="false">C38-D38</f>
        <v>22</v>
      </c>
    </row>
    <row r="39" customFormat="false" ht="15" hidden="false" customHeight="false" outlineLevel="0" collapsed="false">
      <c r="A39" s="4" t="n">
        <v>1</v>
      </c>
      <c r="B39" s="4" t="n">
        <v>153</v>
      </c>
      <c r="C39" s="4" t="n">
        <v>277</v>
      </c>
      <c r="D39" s="4" t="n">
        <v>242</v>
      </c>
      <c r="E39" s="6" t="n">
        <v>17.5026101280256</v>
      </c>
      <c r="F39" s="6" t="n">
        <f aca="false">D39+E39</f>
        <v>259.502610128026</v>
      </c>
      <c r="G39" s="6" t="n">
        <f aca="false">F39-C39</f>
        <v>-17.4973898719744</v>
      </c>
      <c r="H39" s="4" t="str">
        <f aca="false">IF(G39&gt;2,"LATE",IF(G39&lt;-13,"EARLY","IN"))</f>
        <v>EARLY</v>
      </c>
      <c r="I39" s="4" t="n">
        <f aca="false">C39-D39</f>
        <v>35</v>
      </c>
    </row>
    <row r="40" customFormat="false" ht="15" hidden="false" customHeight="false" outlineLevel="0" collapsed="false">
      <c r="A40" s="4" t="n">
        <v>1</v>
      </c>
      <c r="B40" s="4" t="n">
        <v>156</v>
      </c>
      <c r="C40" s="4" t="n">
        <v>228</v>
      </c>
      <c r="D40" s="4" t="n">
        <v>213</v>
      </c>
      <c r="E40" s="6" t="n">
        <v>12.3843908882958</v>
      </c>
      <c r="F40" s="6" t="n">
        <f aca="false">D40+E40</f>
        <v>225.384390888296</v>
      </c>
      <c r="G40" s="6" t="n">
        <f aca="false">F40-C40</f>
        <v>-2.6156091117042</v>
      </c>
      <c r="H40" s="4" t="str">
        <f aca="false">IF(G40&gt;2,"LATE",IF(G40&lt;-13,"EARLY","IN"))</f>
        <v>IN</v>
      </c>
      <c r="I40" s="4" t="n">
        <f aca="false">C40-D40</f>
        <v>15</v>
      </c>
    </row>
    <row r="41" customFormat="false" ht="15" hidden="false" customHeight="false" outlineLevel="0" collapsed="false">
      <c r="A41" s="4" t="n">
        <v>1</v>
      </c>
      <c r="B41" s="4" t="n">
        <v>168</v>
      </c>
      <c r="C41" s="4" t="n">
        <v>253</v>
      </c>
      <c r="D41" s="4" t="n">
        <v>229</v>
      </c>
      <c r="E41" s="6" t="n">
        <v>15.8540307217858</v>
      </c>
      <c r="F41" s="6" t="n">
        <f aca="false">D41+E41</f>
        <v>244.854030721786</v>
      </c>
      <c r="G41" s="6" t="n">
        <f aca="false">F41-C41</f>
        <v>-8.14596927821418</v>
      </c>
      <c r="H41" s="4" t="str">
        <f aca="false">IF(G41&gt;2,"LATE",IF(G41&lt;-13,"EARLY","IN"))</f>
        <v>IN</v>
      </c>
      <c r="I41" s="4" t="n">
        <f aca="false">C41-D41</f>
        <v>24</v>
      </c>
    </row>
    <row r="42" customFormat="false" ht="15" hidden="false" customHeight="false" outlineLevel="0" collapsed="false">
      <c r="A42" s="4" t="n">
        <v>1</v>
      </c>
      <c r="B42" s="4" t="n">
        <v>180</v>
      </c>
      <c r="C42" s="4" t="n">
        <v>200</v>
      </c>
      <c r="D42" s="4" t="n">
        <v>181</v>
      </c>
      <c r="E42" s="6" t="n">
        <v>14.8428298959883</v>
      </c>
      <c r="F42" s="6" t="n">
        <f aca="false">D42+E42</f>
        <v>195.842829895988</v>
      </c>
      <c r="G42" s="6" t="n">
        <f aca="false">F42-C42</f>
        <v>-4.15717010401176</v>
      </c>
      <c r="H42" s="4" t="str">
        <f aca="false">IF(G42&gt;2,"LATE",IF(G42&lt;-13,"EARLY","IN"))</f>
        <v>IN</v>
      </c>
      <c r="I42" s="4" t="n">
        <f aca="false">C42-D42</f>
        <v>19</v>
      </c>
    </row>
    <row r="43" customFormat="false" ht="15" hidden="false" customHeight="false" outlineLevel="0" collapsed="false">
      <c r="A43" s="4" t="n">
        <v>1</v>
      </c>
      <c r="B43" s="4" t="n">
        <v>181</v>
      </c>
      <c r="C43" s="4" t="n">
        <v>161</v>
      </c>
      <c r="D43" s="4" t="n">
        <v>142</v>
      </c>
      <c r="E43" s="6" t="n">
        <v>15.6768955379974</v>
      </c>
      <c r="F43" s="6" t="n">
        <f aca="false">D43+E43</f>
        <v>157.676895537997</v>
      </c>
      <c r="G43" s="6" t="n">
        <f aca="false">F43-C43</f>
        <v>-3.32310446200259</v>
      </c>
      <c r="H43" s="4" t="str">
        <f aca="false">IF(G43&gt;2,"LATE",IF(G43&lt;-13,"EARLY","IN"))</f>
        <v>IN</v>
      </c>
      <c r="I43" s="4" t="n">
        <f aca="false">C43-D43</f>
        <v>19</v>
      </c>
    </row>
    <row r="44" customFormat="false" ht="15" hidden="false" customHeight="false" outlineLevel="0" collapsed="false">
      <c r="A44" s="4" t="n">
        <v>1</v>
      </c>
      <c r="B44" s="4" t="n">
        <v>187</v>
      </c>
      <c r="C44" s="4" t="n">
        <v>199</v>
      </c>
      <c r="D44" s="4" t="n">
        <v>178</v>
      </c>
      <c r="E44" s="6" t="n">
        <v>12.6563993326886</v>
      </c>
      <c r="F44" s="6" t="n">
        <f aca="false">D44+E44</f>
        <v>190.656399332689</v>
      </c>
      <c r="G44" s="6" t="n">
        <f aca="false">F44-C44</f>
        <v>-8.34360066731145</v>
      </c>
      <c r="H44" s="4" t="str">
        <f aca="false">IF(G44&gt;2,"LATE",IF(G44&lt;-13,"EARLY","IN"))</f>
        <v>IN</v>
      </c>
      <c r="I44" s="4" t="n">
        <f aca="false">C44-D44</f>
        <v>21</v>
      </c>
    </row>
    <row r="45" customFormat="false" ht="15" hidden="false" customHeight="false" outlineLevel="0" collapsed="false">
      <c r="A45" s="4" t="n">
        <v>1</v>
      </c>
      <c r="B45" s="4" t="n">
        <v>189</v>
      </c>
      <c r="C45" s="4" t="n">
        <v>242</v>
      </c>
      <c r="D45" s="4" t="n">
        <v>230</v>
      </c>
      <c r="E45" s="6" t="n">
        <v>12.6919807037333</v>
      </c>
      <c r="F45" s="6" t="n">
        <f aca="false">D45+E45</f>
        <v>242.691980703733</v>
      </c>
      <c r="G45" s="6" t="n">
        <f aca="false">F45-C45</f>
        <v>0.691980703733293</v>
      </c>
      <c r="H45" s="4" t="str">
        <f aca="false">IF(G45&gt;2,"LATE",IF(G45&lt;-13,"EARLY","IN"))</f>
        <v>IN</v>
      </c>
      <c r="I45" s="4" t="n">
        <f aca="false">C45-D45</f>
        <v>12</v>
      </c>
    </row>
    <row r="46" customFormat="false" ht="15" hidden="false" customHeight="false" outlineLevel="0" collapsed="false">
      <c r="A46" s="4" t="n">
        <v>1</v>
      </c>
      <c r="B46" s="4" t="n">
        <v>193</v>
      </c>
      <c r="C46" s="4" t="n">
        <v>223</v>
      </c>
      <c r="D46" s="4" t="n">
        <v>197</v>
      </c>
      <c r="E46" s="6" t="n">
        <v>16.6571703670588</v>
      </c>
      <c r="F46" s="6" t="n">
        <f aca="false">D46+E46</f>
        <v>213.657170367059</v>
      </c>
      <c r="G46" s="6" t="n">
        <f aca="false">F46-C46</f>
        <v>-9.34282963294118</v>
      </c>
      <c r="H46" s="4" t="str">
        <f aca="false">IF(G46&gt;2,"LATE",IF(G46&lt;-13,"EARLY","IN"))</f>
        <v>IN</v>
      </c>
      <c r="I46" s="4" t="n">
        <f aca="false">C46-D46</f>
        <v>26</v>
      </c>
    </row>
    <row r="47" customFormat="false" ht="15" hidden="false" customHeight="false" outlineLevel="0" collapsed="false">
      <c r="A47" s="4" t="n">
        <v>1</v>
      </c>
      <c r="B47" s="4" t="n">
        <v>194</v>
      </c>
      <c r="C47" s="4" t="n">
        <v>246</v>
      </c>
      <c r="D47" s="4" t="n">
        <v>216</v>
      </c>
      <c r="E47" s="6" t="n">
        <v>16.0144438486031</v>
      </c>
      <c r="F47" s="6" t="n">
        <f aca="false">D47+E47</f>
        <v>232.014443848603</v>
      </c>
      <c r="G47" s="6" t="n">
        <f aca="false">F47-C47</f>
        <v>-13.9855561513969</v>
      </c>
      <c r="H47" s="4" t="str">
        <f aca="false">IF(G47&gt;2,"LATE",IF(G47&lt;-13,"EARLY","IN"))</f>
        <v>EARLY</v>
      </c>
      <c r="I47" s="4" t="n">
        <f aca="false">C47-D47</f>
        <v>30</v>
      </c>
    </row>
    <row r="48" customFormat="false" ht="15" hidden="false" customHeight="false" outlineLevel="0" collapsed="false">
      <c r="A48" s="4" t="n">
        <v>1</v>
      </c>
      <c r="B48" s="4" t="n">
        <v>195</v>
      </c>
      <c r="C48" s="4" t="n">
        <v>284</v>
      </c>
      <c r="D48" s="4" t="n">
        <v>266</v>
      </c>
      <c r="E48" s="6" t="n">
        <v>12.8227038288442</v>
      </c>
      <c r="F48" s="6" t="n">
        <f aca="false">D48+E48</f>
        <v>278.822703828844</v>
      </c>
      <c r="G48" s="6" t="n">
        <f aca="false">F48-C48</f>
        <v>-5.17729617115583</v>
      </c>
      <c r="H48" s="4" t="str">
        <f aca="false">IF(G48&gt;2,"LATE",IF(G48&lt;-13,"EARLY","IN"))</f>
        <v>IN</v>
      </c>
      <c r="I48" s="4" t="n">
        <f aca="false">C48-D48</f>
        <v>18</v>
      </c>
    </row>
    <row r="49" customFormat="false" ht="15" hidden="false" customHeight="false" outlineLevel="0" collapsed="false">
      <c r="A49" s="4" t="n">
        <v>1</v>
      </c>
      <c r="B49" s="4" t="n">
        <v>203</v>
      </c>
      <c r="C49" s="4" t="n">
        <v>225</v>
      </c>
      <c r="D49" s="4" t="n">
        <v>204</v>
      </c>
      <c r="E49" s="6" t="n">
        <v>15.0220434842434</v>
      </c>
      <c r="F49" s="6" t="n">
        <f aca="false">D49+E49</f>
        <v>219.022043484243</v>
      </c>
      <c r="G49" s="6" t="n">
        <f aca="false">F49-C49</f>
        <v>-5.97795651575663</v>
      </c>
      <c r="H49" s="4" t="str">
        <f aca="false">IF(G49&gt;2,"LATE",IF(G49&lt;-13,"EARLY","IN"))</f>
        <v>IN</v>
      </c>
      <c r="I49" s="4" t="n">
        <f aca="false">C49-D49</f>
        <v>21</v>
      </c>
    </row>
    <row r="50" customFormat="false" ht="15" hidden="false" customHeight="false" outlineLevel="0" collapsed="false">
      <c r="A50" s="4" t="n">
        <v>1</v>
      </c>
      <c r="B50" s="4" t="n">
        <v>207</v>
      </c>
      <c r="C50" s="4" t="n">
        <v>278</v>
      </c>
      <c r="D50" s="4" t="n">
        <v>262</v>
      </c>
      <c r="E50" s="6" t="n">
        <v>11.6339204856331</v>
      </c>
      <c r="F50" s="6" t="n">
        <f aca="false">D50+E50</f>
        <v>273.633920485633</v>
      </c>
      <c r="G50" s="6" t="n">
        <f aca="false">F50-C50</f>
        <v>-4.36607951436696</v>
      </c>
      <c r="H50" s="4" t="str">
        <f aca="false">IF(G50&gt;2,"LATE",IF(G50&lt;-13,"EARLY","IN"))</f>
        <v>IN</v>
      </c>
      <c r="I50" s="4" t="n">
        <f aca="false">C50-D50</f>
        <v>16</v>
      </c>
    </row>
    <row r="51" customFormat="false" ht="15" hidden="false" customHeight="false" outlineLevel="0" collapsed="false">
      <c r="A51" s="4" t="n">
        <v>1</v>
      </c>
      <c r="B51" s="4" t="n">
        <v>213</v>
      </c>
      <c r="C51" s="4" t="n">
        <v>263</v>
      </c>
      <c r="D51" s="4" t="n">
        <v>245</v>
      </c>
      <c r="E51" s="6" t="n">
        <v>13.696024078057</v>
      </c>
      <c r="F51" s="6" t="n">
        <f aca="false">D51+E51</f>
        <v>258.696024078057</v>
      </c>
      <c r="G51" s="6" t="n">
        <f aca="false">F51-C51</f>
        <v>-4.30397592194299</v>
      </c>
      <c r="H51" s="4" t="str">
        <f aca="false">IF(G51&gt;2,"LATE",IF(G51&lt;-13,"EARLY","IN"))</f>
        <v>IN</v>
      </c>
      <c r="I51" s="4" t="n">
        <f aca="false">C51-D51</f>
        <v>18</v>
      </c>
    </row>
    <row r="52" customFormat="false" ht="15" hidden="false" customHeight="false" outlineLevel="0" collapsed="false">
      <c r="A52" s="4" t="n">
        <v>2</v>
      </c>
      <c r="B52" s="4" t="n">
        <v>1</v>
      </c>
      <c r="C52" s="4" t="n">
        <v>223</v>
      </c>
      <c r="D52" s="4" t="n">
        <v>201</v>
      </c>
      <c r="E52" s="6" t="n">
        <v>12.3978266237485</v>
      </c>
      <c r="F52" s="6" t="n">
        <f aca="false">D52+E52</f>
        <v>213.397826623749</v>
      </c>
      <c r="G52" s="6" t="n">
        <f aca="false">F52-C52</f>
        <v>-9.60217337625147</v>
      </c>
      <c r="H52" s="4" t="str">
        <f aca="false">IF(G52&gt;2,"LATE",IF(G52&lt;-13,"EARLY","IN"))</f>
        <v>IN</v>
      </c>
      <c r="I52" s="4" t="n">
        <f aca="false">C52-D52</f>
        <v>22</v>
      </c>
    </row>
    <row r="53" customFormat="false" ht="15" hidden="false" customHeight="false" outlineLevel="0" collapsed="false">
      <c r="A53" s="4" t="n">
        <v>2</v>
      </c>
      <c r="B53" s="4" t="n">
        <v>5</v>
      </c>
      <c r="C53" s="4" t="n">
        <v>357</v>
      </c>
      <c r="D53" s="4" t="n">
        <v>324</v>
      </c>
      <c r="E53" s="6" t="n">
        <v>18.9894990872774</v>
      </c>
      <c r="F53" s="6" t="n">
        <f aca="false">D53+E53</f>
        <v>342.989499087277</v>
      </c>
      <c r="G53" s="6" t="n">
        <f aca="false">F53-C53</f>
        <v>-14.0105009127226</v>
      </c>
      <c r="H53" s="4" t="str">
        <f aca="false">IF(G53&gt;2,"LATE",IF(G53&lt;-13,"EARLY","IN"))</f>
        <v>EARLY</v>
      </c>
      <c r="I53" s="4" t="n">
        <f aca="false">C53-D53</f>
        <v>33</v>
      </c>
    </row>
    <row r="54" customFormat="false" ht="15" hidden="false" customHeight="false" outlineLevel="0" collapsed="false">
      <c r="A54" s="4" t="n">
        <v>2</v>
      </c>
      <c r="B54" s="4" t="n">
        <v>7</v>
      </c>
      <c r="C54" s="4" t="n">
        <v>168</v>
      </c>
      <c r="D54" s="4" t="n">
        <v>155</v>
      </c>
      <c r="E54" s="6" t="n">
        <v>12.5462683032744</v>
      </c>
      <c r="F54" s="6" t="n">
        <f aca="false">D54+E54</f>
        <v>167.546268303274</v>
      </c>
      <c r="G54" s="6" t="n">
        <f aca="false">F54-C54</f>
        <v>-0.453731696725583</v>
      </c>
      <c r="H54" s="4" t="str">
        <f aca="false">IF(G54&gt;2,"LATE",IF(G54&lt;-13,"EARLY","IN"))</f>
        <v>IN</v>
      </c>
      <c r="I54" s="4" t="n">
        <f aca="false">C54-D54</f>
        <v>13</v>
      </c>
    </row>
    <row r="55" customFormat="false" ht="15" hidden="false" customHeight="false" outlineLevel="0" collapsed="false">
      <c r="A55" s="4" t="n">
        <v>2</v>
      </c>
      <c r="B55" s="4" t="n">
        <v>11</v>
      </c>
      <c r="C55" s="4" t="n">
        <v>210</v>
      </c>
      <c r="D55" s="4" t="n">
        <v>185</v>
      </c>
      <c r="E55" s="6" t="n">
        <v>18.2912593657781</v>
      </c>
      <c r="F55" s="6" t="n">
        <f aca="false">D55+E55</f>
        <v>203.291259365778</v>
      </c>
      <c r="G55" s="6" t="n">
        <f aca="false">F55-C55</f>
        <v>-6.70874063422195</v>
      </c>
      <c r="H55" s="4" t="str">
        <f aca="false">IF(G55&gt;2,"LATE",IF(G55&lt;-13,"EARLY","IN"))</f>
        <v>IN</v>
      </c>
      <c r="I55" s="4" t="n">
        <f aca="false">C55-D55</f>
        <v>25</v>
      </c>
    </row>
    <row r="56" customFormat="false" ht="15" hidden="false" customHeight="false" outlineLevel="0" collapsed="false">
      <c r="A56" s="4" t="n">
        <v>2</v>
      </c>
      <c r="B56" s="4" t="n">
        <v>16</v>
      </c>
      <c r="C56" s="4" t="n">
        <v>172</v>
      </c>
      <c r="D56" s="4" t="n">
        <v>155</v>
      </c>
      <c r="E56" s="6" t="n">
        <v>17.6178931806631</v>
      </c>
      <c r="F56" s="6" t="n">
        <f aca="false">D56+E56</f>
        <v>172.617893180663</v>
      </c>
      <c r="G56" s="6" t="n">
        <f aca="false">F56-C56</f>
        <v>0.617893180663089</v>
      </c>
      <c r="H56" s="4" t="str">
        <f aca="false">IF(G56&gt;2,"LATE",IF(G56&lt;-13,"EARLY","IN"))</f>
        <v>IN</v>
      </c>
      <c r="I56" s="4" t="n">
        <f aca="false">C56-D56</f>
        <v>17</v>
      </c>
    </row>
    <row r="57" customFormat="false" ht="15" hidden="false" customHeight="false" outlineLevel="0" collapsed="false">
      <c r="A57" s="4" t="n">
        <v>2</v>
      </c>
      <c r="B57" s="4" t="n">
        <v>17</v>
      </c>
      <c r="C57" s="4" t="n">
        <v>228</v>
      </c>
      <c r="D57" s="4" t="n">
        <v>208</v>
      </c>
      <c r="E57" s="6" t="n">
        <v>16.8649175800332</v>
      </c>
      <c r="F57" s="6" t="n">
        <f aca="false">D57+E57</f>
        <v>224.864917580033</v>
      </c>
      <c r="G57" s="6" t="n">
        <f aca="false">F57-C57</f>
        <v>-3.13508241996681</v>
      </c>
      <c r="H57" s="4" t="str">
        <f aca="false">IF(G57&gt;2,"LATE",IF(G57&lt;-13,"EARLY","IN"))</f>
        <v>IN</v>
      </c>
      <c r="I57" s="4" t="n">
        <f aca="false">C57-D57</f>
        <v>20</v>
      </c>
    </row>
    <row r="58" customFormat="false" ht="15" hidden="false" customHeight="false" outlineLevel="0" collapsed="false">
      <c r="A58" s="4" t="n">
        <v>2</v>
      </c>
      <c r="B58" s="4" t="n">
        <v>23</v>
      </c>
      <c r="C58" s="4" t="n">
        <v>213</v>
      </c>
      <c r="D58" s="4" t="n">
        <v>199</v>
      </c>
      <c r="E58" s="6" t="n">
        <v>11.6255072503446</v>
      </c>
      <c r="F58" s="6" t="n">
        <f aca="false">D58+E58</f>
        <v>210.625507250345</v>
      </c>
      <c r="G58" s="6" t="n">
        <f aca="false">F58-C58</f>
        <v>-2.37449274965539</v>
      </c>
      <c r="H58" s="4" t="str">
        <f aca="false">IF(G58&gt;2,"LATE",IF(G58&lt;-13,"EARLY","IN"))</f>
        <v>IN</v>
      </c>
      <c r="I58" s="4" t="n">
        <f aca="false">C58-D58</f>
        <v>14</v>
      </c>
    </row>
    <row r="59" customFormat="false" ht="15" hidden="false" customHeight="false" outlineLevel="0" collapsed="false">
      <c r="A59" s="4" t="n">
        <v>2</v>
      </c>
      <c r="B59" s="4" t="n">
        <v>27</v>
      </c>
      <c r="C59" s="4" t="n">
        <v>178</v>
      </c>
      <c r="D59" s="4" t="n">
        <v>162</v>
      </c>
      <c r="E59" s="6" t="n">
        <v>18.8717668273918</v>
      </c>
      <c r="F59" s="6" t="n">
        <f aca="false">D59+E59</f>
        <v>180.871766827392</v>
      </c>
      <c r="G59" s="6" t="n">
        <f aca="false">F59-C59</f>
        <v>2.87176682739184</v>
      </c>
      <c r="H59" s="4" t="str">
        <f aca="false">IF(G59&gt;2,"LATE",IF(G59&lt;-13,"EARLY","IN"))</f>
        <v>LATE</v>
      </c>
      <c r="I59" s="4" t="n">
        <f aca="false">C59-D59</f>
        <v>16</v>
      </c>
    </row>
    <row r="60" customFormat="false" ht="15" hidden="false" customHeight="false" outlineLevel="0" collapsed="false">
      <c r="A60" s="4" t="n">
        <v>2</v>
      </c>
      <c r="B60" s="4" t="n">
        <v>30</v>
      </c>
      <c r="C60" s="4" t="n">
        <v>200</v>
      </c>
      <c r="D60" s="4" t="n">
        <v>183</v>
      </c>
      <c r="E60" s="6" t="n">
        <v>18.1037945847159</v>
      </c>
      <c r="F60" s="6" t="n">
        <f aca="false">D60+E60</f>
        <v>201.103794584716</v>
      </c>
      <c r="G60" s="6" t="n">
        <f aca="false">F60-C60</f>
        <v>1.10379458471587</v>
      </c>
      <c r="H60" s="4" t="str">
        <f aca="false">IF(G60&gt;2,"LATE",IF(G60&lt;-13,"EARLY","IN"))</f>
        <v>IN</v>
      </c>
      <c r="I60" s="4" t="n">
        <f aca="false">C60-D60</f>
        <v>17</v>
      </c>
    </row>
    <row r="61" customFormat="false" ht="15" hidden="false" customHeight="false" outlineLevel="0" collapsed="false">
      <c r="A61" s="4" t="n">
        <v>2</v>
      </c>
      <c r="B61" s="4" t="n">
        <v>33</v>
      </c>
      <c r="C61" s="4" t="n">
        <v>286</v>
      </c>
      <c r="D61" s="4" t="n">
        <v>263</v>
      </c>
      <c r="E61" s="6" t="n">
        <v>15.1965192369035</v>
      </c>
      <c r="F61" s="6" t="n">
        <f aca="false">D61+E61</f>
        <v>278.196519236904</v>
      </c>
      <c r="G61" s="6" t="n">
        <f aca="false">F61-C61</f>
        <v>-7.8034807630965</v>
      </c>
      <c r="H61" s="4" t="str">
        <f aca="false">IF(G61&gt;2,"LATE",IF(G61&lt;-13,"EARLY","IN"))</f>
        <v>IN</v>
      </c>
      <c r="I61" s="4" t="n">
        <f aca="false">C61-D61</f>
        <v>23</v>
      </c>
    </row>
    <row r="62" customFormat="false" ht="15" hidden="false" customHeight="false" outlineLevel="0" collapsed="false">
      <c r="A62" s="4" t="n">
        <v>2</v>
      </c>
      <c r="B62" s="4" t="n">
        <v>34</v>
      </c>
      <c r="C62" s="4" t="n">
        <v>286</v>
      </c>
      <c r="D62" s="4" t="n">
        <v>267</v>
      </c>
      <c r="E62" s="6" t="n">
        <v>11.4233544597563</v>
      </c>
      <c r="F62" s="6" t="n">
        <f aca="false">D62+E62</f>
        <v>278.423354459756</v>
      </c>
      <c r="G62" s="6" t="n">
        <f aca="false">F62-C62</f>
        <v>-7.5766455402437</v>
      </c>
      <c r="H62" s="4" t="str">
        <f aca="false">IF(G62&gt;2,"LATE",IF(G62&lt;-13,"EARLY","IN"))</f>
        <v>IN</v>
      </c>
      <c r="I62" s="4" t="n">
        <f aca="false">C62-D62</f>
        <v>19</v>
      </c>
    </row>
    <row r="63" customFormat="false" ht="15" hidden="false" customHeight="false" outlineLevel="0" collapsed="false">
      <c r="A63" s="4" t="n">
        <v>2</v>
      </c>
      <c r="B63" s="4" t="n">
        <v>35</v>
      </c>
      <c r="C63" s="4" t="n">
        <v>188</v>
      </c>
      <c r="D63" s="4" t="n">
        <v>168</v>
      </c>
      <c r="E63" s="6" t="n">
        <v>15.7854505881891</v>
      </c>
      <c r="F63" s="6" t="n">
        <f aca="false">D63+E63</f>
        <v>183.785450588189</v>
      </c>
      <c r="G63" s="6" t="n">
        <f aca="false">F63-C63</f>
        <v>-4.21454941181094</v>
      </c>
      <c r="H63" s="4" t="str">
        <f aca="false">IF(G63&gt;2,"LATE",IF(G63&lt;-13,"EARLY","IN"))</f>
        <v>IN</v>
      </c>
      <c r="I63" s="4" t="n">
        <f aca="false">C63-D63</f>
        <v>20</v>
      </c>
    </row>
    <row r="64" customFormat="false" ht="15" hidden="false" customHeight="false" outlineLevel="0" collapsed="false">
      <c r="A64" s="4" t="n">
        <v>2</v>
      </c>
      <c r="B64" s="4" t="n">
        <v>53</v>
      </c>
      <c r="C64" s="4" t="n">
        <v>259</v>
      </c>
      <c r="D64" s="4" t="n">
        <v>238</v>
      </c>
      <c r="E64" s="6" t="n">
        <v>18.5172988248159</v>
      </c>
      <c r="F64" s="6" t="n">
        <f aca="false">D64+E64</f>
        <v>256.517298824816</v>
      </c>
      <c r="G64" s="6" t="n">
        <f aca="false">F64-C64</f>
        <v>-2.4827011751841</v>
      </c>
      <c r="H64" s="4" t="str">
        <f aca="false">IF(G64&gt;2,"LATE",IF(G64&lt;-13,"EARLY","IN"))</f>
        <v>IN</v>
      </c>
      <c r="I64" s="4" t="n">
        <f aca="false">C64-D64</f>
        <v>21</v>
      </c>
    </row>
    <row r="65" customFormat="false" ht="15" hidden="false" customHeight="false" outlineLevel="0" collapsed="false">
      <c r="A65" s="4" t="n">
        <v>2</v>
      </c>
      <c r="B65" s="4" t="n">
        <v>57</v>
      </c>
      <c r="C65" s="4" t="n">
        <v>150</v>
      </c>
      <c r="D65" s="4" t="n">
        <v>129</v>
      </c>
      <c r="E65" s="6" t="n">
        <v>11.4969580616838</v>
      </c>
      <c r="F65" s="6" t="n">
        <f aca="false">D65+E65</f>
        <v>140.496958061684</v>
      </c>
      <c r="G65" s="6" t="n">
        <f aca="false">F65-C65</f>
        <v>-9.50304193831622</v>
      </c>
      <c r="H65" s="4" t="str">
        <f aca="false">IF(G65&gt;2,"LATE",IF(G65&lt;-13,"EARLY","IN"))</f>
        <v>IN</v>
      </c>
      <c r="I65" s="4" t="n">
        <f aca="false">C65-D65</f>
        <v>21</v>
      </c>
    </row>
    <row r="66" customFormat="false" ht="15" hidden="false" customHeight="false" outlineLevel="0" collapsed="false">
      <c r="A66" s="4" t="n">
        <v>2</v>
      </c>
      <c r="B66" s="4" t="n">
        <v>60</v>
      </c>
      <c r="C66" s="4" t="n">
        <v>300</v>
      </c>
      <c r="D66" s="4" t="n">
        <v>276</v>
      </c>
      <c r="E66" s="6" t="n">
        <v>16.705337041505</v>
      </c>
      <c r="F66" s="6" t="n">
        <f aca="false">D66+E66</f>
        <v>292.705337041505</v>
      </c>
      <c r="G66" s="6" t="n">
        <f aca="false">F66-C66</f>
        <v>-7.294662958495</v>
      </c>
      <c r="H66" s="4" t="str">
        <f aca="false">IF(G66&gt;2,"LATE",IF(G66&lt;-13,"EARLY","IN"))</f>
        <v>IN</v>
      </c>
      <c r="I66" s="4" t="n">
        <f aca="false">C66-D66</f>
        <v>24</v>
      </c>
    </row>
    <row r="67" customFormat="false" ht="15" hidden="false" customHeight="false" outlineLevel="0" collapsed="false">
      <c r="A67" s="4" t="n">
        <v>2</v>
      </c>
      <c r="B67" s="4" t="n">
        <v>61</v>
      </c>
      <c r="C67" s="4" t="n">
        <v>229</v>
      </c>
      <c r="D67" s="4" t="n">
        <v>206</v>
      </c>
      <c r="E67" s="6" t="n">
        <v>14.4173677106341</v>
      </c>
      <c r="F67" s="6" t="n">
        <f aca="false">D67+E67</f>
        <v>220.417367710634</v>
      </c>
      <c r="G67" s="6" t="n">
        <f aca="false">F67-C67</f>
        <v>-8.5826322893659</v>
      </c>
      <c r="H67" s="4" t="str">
        <f aca="false">IF(G67&gt;2,"LATE",IF(G67&lt;-13,"EARLY","IN"))</f>
        <v>IN</v>
      </c>
      <c r="I67" s="4" t="n">
        <f aca="false">C67-D67</f>
        <v>23</v>
      </c>
    </row>
    <row r="68" customFormat="false" ht="15" hidden="false" customHeight="false" outlineLevel="0" collapsed="false">
      <c r="A68" s="4" t="n">
        <v>2</v>
      </c>
      <c r="B68" s="4" t="n">
        <v>62</v>
      </c>
      <c r="C68" s="4" t="n">
        <v>238</v>
      </c>
      <c r="D68" s="4" t="n">
        <v>220</v>
      </c>
      <c r="E68" s="6" t="n">
        <v>10.6580854992892</v>
      </c>
      <c r="F68" s="6" t="n">
        <f aca="false">D68+E68</f>
        <v>230.658085499289</v>
      </c>
      <c r="G68" s="6" t="n">
        <f aca="false">F68-C68</f>
        <v>-7.3419145007108</v>
      </c>
      <c r="H68" s="4" t="str">
        <f aca="false">IF(G68&gt;2,"LATE",IF(G68&lt;-13,"EARLY","IN"))</f>
        <v>IN</v>
      </c>
      <c r="I68" s="4" t="n">
        <f aca="false">C68-D68</f>
        <v>18</v>
      </c>
    </row>
    <row r="69" customFormat="false" ht="15" hidden="false" customHeight="false" outlineLevel="0" collapsed="false">
      <c r="A69" s="4" t="n">
        <v>2</v>
      </c>
      <c r="B69" s="4" t="n">
        <v>65</v>
      </c>
      <c r="C69" s="4" t="n">
        <v>209</v>
      </c>
      <c r="D69" s="4" t="n">
        <v>191</v>
      </c>
      <c r="E69" s="6" t="n">
        <v>15.9698198817046</v>
      </c>
      <c r="F69" s="6" t="n">
        <f aca="false">D69+E69</f>
        <v>206.969819881705</v>
      </c>
      <c r="G69" s="6" t="n">
        <f aca="false">F69-C69</f>
        <v>-2.03018011829539</v>
      </c>
      <c r="H69" s="4" t="str">
        <f aca="false">IF(G69&gt;2,"LATE",IF(G69&lt;-13,"EARLY","IN"))</f>
        <v>IN</v>
      </c>
      <c r="I69" s="4" t="n">
        <f aca="false">C69-D69</f>
        <v>18</v>
      </c>
    </row>
    <row r="70" customFormat="false" ht="15" hidden="false" customHeight="false" outlineLevel="0" collapsed="false">
      <c r="A70" s="4" t="n">
        <v>2</v>
      </c>
      <c r="B70" s="4" t="n">
        <v>67</v>
      </c>
      <c r="C70" s="4" t="n">
        <v>145</v>
      </c>
      <c r="D70" s="4" t="n">
        <v>127</v>
      </c>
      <c r="E70" s="6" t="n">
        <v>16.0361893127479</v>
      </c>
      <c r="F70" s="6" t="n">
        <f aca="false">D70+E70</f>
        <v>143.036189312748</v>
      </c>
      <c r="G70" s="6" t="n">
        <f aca="false">F70-C70</f>
        <v>-1.96381068725213</v>
      </c>
      <c r="H70" s="4" t="str">
        <f aca="false">IF(G70&gt;2,"LATE",IF(G70&lt;-13,"EARLY","IN"))</f>
        <v>IN</v>
      </c>
      <c r="I70" s="4" t="n">
        <f aca="false">C70-D70</f>
        <v>18</v>
      </c>
    </row>
    <row r="71" customFormat="false" ht="15" hidden="false" customHeight="false" outlineLevel="0" collapsed="false">
      <c r="A71" s="4" t="n">
        <v>2</v>
      </c>
      <c r="B71" s="4" t="n">
        <v>69</v>
      </c>
      <c r="C71" s="4" t="n">
        <v>170</v>
      </c>
      <c r="D71" s="4" t="n">
        <v>158</v>
      </c>
      <c r="E71" s="6" t="n">
        <v>11.2442459434996</v>
      </c>
      <c r="F71" s="6" t="n">
        <f aca="false">D71+E71</f>
        <v>169.2442459435</v>
      </c>
      <c r="G71" s="6" t="n">
        <f aca="false">F71-C71</f>
        <v>-0.755754056500393</v>
      </c>
      <c r="H71" s="4" t="str">
        <f aca="false">IF(G71&gt;2,"LATE",IF(G71&lt;-13,"EARLY","IN"))</f>
        <v>IN</v>
      </c>
      <c r="I71" s="4" t="n">
        <f aca="false">C71-D71</f>
        <v>12</v>
      </c>
    </row>
    <row r="72" customFormat="false" ht="15" hidden="false" customHeight="false" outlineLevel="0" collapsed="false">
      <c r="A72" s="4" t="n">
        <v>2</v>
      </c>
      <c r="B72" s="4" t="n">
        <v>71</v>
      </c>
      <c r="C72" s="4" t="n">
        <v>225</v>
      </c>
      <c r="D72" s="4" t="n">
        <v>204</v>
      </c>
      <c r="E72" s="6" t="n">
        <v>16.3980915596768</v>
      </c>
      <c r="F72" s="6" t="n">
        <f aca="false">D72+E72</f>
        <v>220.398091559677</v>
      </c>
      <c r="G72" s="6" t="n">
        <f aca="false">F72-C72</f>
        <v>-4.60190844032323</v>
      </c>
      <c r="H72" s="4" t="str">
        <f aca="false">IF(G72&gt;2,"LATE",IF(G72&lt;-13,"EARLY","IN"))</f>
        <v>IN</v>
      </c>
      <c r="I72" s="4" t="n">
        <f aca="false">C72-D72</f>
        <v>21</v>
      </c>
    </row>
    <row r="73" customFormat="false" ht="15" hidden="false" customHeight="false" outlineLevel="0" collapsed="false">
      <c r="A73" s="4" t="n">
        <v>2</v>
      </c>
      <c r="B73" s="4" t="n">
        <v>72</v>
      </c>
      <c r="C73" s="4" t="n">
        <v>235</v>
      </c>
      <c r="D73" s="4" t="n">
        <v>210</v>
      </c>
      <c r="E73" s="6" t="n">
        <v>16.3075703209908</v>
      </c>
      <c r="F73" s="6" t="n">
        <f aca="false">D73+E73</f>
        <v>226.307570320991</v>
      </c>
      <c r="G73" s="6" t="n">
        <f aca="false">F73-C73</f>
        <v>-8.69242967900925</v>
      </c>
      <c r="H73" s="4" t="str">
        <f aca="false">IF(G73&gt;2,"LATE",IF(G73&lt;-13,"EARLY","IN"))</f>
        <v>IN</v>
      </c>
      <c r="I73" s="4" t="n">
        <f aca="false">C73-D73</f>
        <v>25</v>
      </c>
    </row>
    <row r="74" customFormat="false" ht="15" hidden="false" customHeight="false" outlineLevel="0" collapsed="false">
      <c r="A74" s="4" t="n">
        <v>2</v>
      </c>
      <c r="B74" s="4" t="n">
        <v>75</v>
      </c>
      <c r="C74" s="4" t="n">
        <v>186</v>
      </c>
      <c r="D74" s="4" t="n">
        <v>170</v>
      </c>
      <c r="E74" s="6" t="n">
        <v>12.963817829657</v>
      </c>
      <c r="F74" s="6" t="n">
        <f aca="false">D74+E74</f>
        <v>182.963817829657</v>
      </c>
      <c r="G74" s="6" t="n">
        <f aca="false">F74-C74</f>
        <v>-3.03618217034298</v>
      </c>
      <c r="H74" s="4" t="str">
        <f aca="false">IF(G74&gt;2,"LATE",IF(G74&lt;-13,"EARLY","IN"))</f>
        <v>IN</v>
      </c>
      <c r="I74" s="4" t="n">
        <f aca="false">C74-D74</f>
        <v>16</v>
      </c>
    </row>
    <row r="75" customFormat="false" ht="15" hidden="false" customHeight="false" outlineLevel="0" collapsed="false">
      <c r="A75" s="4" t="n">
        <v>2</v>
      </c>
      <c r="B75" s="4" t="n">
        <v>76</v>
      </c>
      <c r="C75" s="4" t="n">
        <v>128</v>
      </c>
      <c r="D75" s="4" t="n">
        <v>115</v>
      </c>
      <c r="E75" s="6" t="n">
        <v>14.340034560053</v>
      </c>
      <c r="F75" s="6" t="n">
        <f aca="false">D75+E75</f>
        <v>129.340034560053</v>
      </c>
      <c r="G75" s="6" t="n">
        <f aca="false">F75-C75</f>
        <v>1.34003456005294</v>
      </c>
      <c r="H75" s="4" t="str">
        <f aca="false">IF(G75&gt;2,"LATE",IF(G75&lt;-13,"EARLY","IN"))</f>
        <v>IN</v>
      </c>
      <c r="I75" s="4" t="n">
        <f aca="false">C75-D75</f>
        <v>13</v>
      </c>
    </row>
    <row r="76" customFormat="false" ht="15" hidden="false" customHeight="false" outlineLevel="0" collapsed="false">
      <c r="A76" s="4" t="n">
        <v>2</v>
      </c>
      <c r="B76" s="4" t="n">
        <v>78</v>
      </c>
      <c r="C76" s="4" t="n">
        <v>228</v>
      </c>
      <c r="D76" s="4" t="n">
        <v>203</v>
      </c>
      <c r="E76" s="6" t="n">
        <v>16.1056711448082</v>
      </c>
      <c r="F76" s="6" t="n">
        <f aca="false">D76+E76</f>
        <v>219.105671144808</v>
      </c>
      <c r="G76" s="6" t="n">
        <f aca="false">F76-C76</f>
        <v>-8.89432885519179</v>
      </c>
      <c r="H76" s="4" t="str">
        <f aca="false">IF(G76&gt;2,"LATE",IF(G76&lt;-13,"EARLY","IN"))</f>
        <v>IN</v>
      </c>
      <c r="I76" s="4" t="n">
        <f aca="false">C76-D76</f>
        <v>25</v>
      </c>
    </row>
    <row r="77" customFormat="false" ht="15" hidden="false" customHeight="false" outlineLevel="0" collapsed="false">
      <c r="A77" s="4" t="n">
        <v>2</v>
      </c>
      <c r="B77" s="4" t="n">
        <v>89</v>
      </c>
      <c r="C77" s="4" t="n">
        <v>225</v>
      </c>
      <c r="D77" s="4" t="n">
        <v>199</v>
      </c>
      <c r="E77" s="6" t="n">
        <v>16.1648111618731</v>
      </c>
      <c r="F77" s="6" t="n">
        <f aca="false">D77+E77</f>
        <v>215.164811161873</v>
      </c>
      <c r="G77" s="6" t="n">
        <f aca="false">F77-C77</f>
        <v>-9.83518883812687</v>
      </c>
      <c r="H77" s="4" t="str">
        <f aca="false">IF(G77&gt;2,"LATE",IF(G77&lt;-13,"EARLY","IN"))</f>
        <v>IN</v>
      </c>
      <c r="I77" s="4" t="n">
        <f aca="false">C77-D77</f>
        <v>26</v>
      </c>
    </row>
    <row r="78" customFormat="false" ht="15" hidden="false" customHeight="false" outlineLevel="0" collapsed="false">
      <c r="A78" s="4" t="n">
        <v>2</v>
      </c>
      <c r="B78" s="4" t="n">
        <v>91</v>
      </c>
      <c r="C78" s="4" t="n">
        <v>199</v>
      </c>
      <c r="D78" s="4" t="n">
        <v>184</v>
      </c>
      <c r="E78" s="6" t="n">
        <v>12.6941669153545</v>
      </c>
      <c r="F78" s="6" t="n">
        <f aca="false">D78+E78</f>
        <v>196.694166915354</v>
      </c>
      <c r="G78" s="6" t="n">
        <f aca="false">F78-C78</f>
        <v>-2.30583308464554</v>
      </c>
      <c r="H78" s="4" t="str">
        <f aca="false">IF(G78&gt;2,"LATE",IF(G78&lt;-13,"EARLY","IN"))</f>
        <v>IN</v>
      </c>
      <c r="I78" s="4" t="n">
        <f aca="false">C78-D78</f>
        <v>15</v>
      </c>
    </row>
    <row r="79" customFormat="false" ht="15" hidden="false" customHeight="false" outlineLevel="0" collapsed="false">
      <c r="A79" s="4" t="n">
        <v>2</v>
      </c>
      <c r="B79" s="4" t="n">
        <v>100</v>
      </c>
      <c r="C79" s="4" t="n">
        <v>213</v>
      </c>
      <c r="D79" s="4" t="n">
        <v>193</v>
      </c>
      <c r="E79" s="6" t="n">
        <v>14.5120292911639</v>
      </c>
      <c r="F79" s="6" t="n">
        <f aca="false">D79+E79</f>
        <v>207.512029291164</v>
      </c>
      <c r="G79" s="6" t="n">
        <f aca="false">F79-C79</f>
        <v>-5.48797070883609</v>
      </c>
      <c r="H79" s="4" t="str">
        <f aca="false">IF(G79&gt;2,"LATE",IF(G79&lt;-13,"EARLY","IN"))</f>
        <v>IN</v>
      </c>
      <c r="I79" s="4" t="n">
        <f aca="false">C79-D79</f>
        <v>20</v>
      </c>
    </row>
    <row r="80" customFormat="false" ht="15" hidden="false" customHeight="false" outlineLevel="0" collapsed="false">
      <c r="A80" s="4" t="n">
        <v>2</v>
      </c>
      <c r="B80" s="4" t="n">
        <v>103</v>
      </c>
      <c r="C80" s="4" t="n">
        <v>243</v>
      </c>
      <c r="D80" s="4" t="n">
        <v>229</v>
      </c>
      <c r="E80" s="6" t="n">
        <v>11.1915497875659</v>
      </c>
      <c r="F80" s="6" t="n">
        <f aca="false">D80+E80</f>
        <v>240.191549787566</v>
      </c>
      <c r="G80" s="6" t="n">
        <f aca="false">F80-C80</f>
        <v>-2.80845021243411</v>
      </c>
      <c r="H80" s="4" t="str">
        <f aca="false">IF(G80&gt;2,"LATE",IF(G80&lt;-13,"EARLY","IN"))</f>
        <v>IN</v>
      </c>
      <c r="I80" s="4" t="n">
        <f aca="false">C80-D80</f>
        <v>14</v>
      </c>
    </row>
    <row r="81" customFormat="false" ht="15" hidden="false" customHeight="false" outlineLevel="0" collapsed="false">
      <c r="A81" s="4" t="n">
        <v>2</v>
      </c>
      <c r="B81" s="4" t="n">
        <v>108</v>
      </c>
      <c r="C81" s="4" t="n">
        <v>230</v>
      </c>
      <c r="D81" s="4" t="n">
        <v>209</v>
      </c>
      <c r="E81" s="6" t="n">
        <v>14.3887865297176</v>
      </c>
      <c r="F81" s="6" t="n">
        <f aca="false">D81+E81</f>
        <v>223.388786529718</v>
      </c>
      <c r="G81" s="6" t="n">
        <f aca="false">F81-C81</f>
        <v>-6.61121347028239</v>
      </c>
      <c r="H81" s="4" t="str">
        <f aca="false">IF(G81&gt;2,"LATE",IF(G81&lt;-13,"EARLY","IN"))</f>
        <v>IN</v>
      </c>
      <c r="I81" s="4" t="n">
        <f aca="false">C81-D81</f>
        <v>21</v>
      </c>
    </row>
    <row r="82" customFormat="false" ht="15" hidden="false" customHeight="false" outlineLevel="0" collapsed="false">
      <c r="A82" s="4" t="n">
        <v>2</v>
      </c>
      <c r="B82" s="4" t="n">
        <v>110</v>
      </c>
      <c r="C82" s="4" t="n">
        <v>277</v>
      </c>
      <c r="D82" s="4" t="n">
        <v>250</v>
      </c>
      <c r="E82" s="6" t="n">
        <v>11.0487121994169</v>
      </c>
      <c r="F82" s="6" t="n">
        <f aca="false">D82+E82</f>
        <v>261.048712199417</v>
      </c>
      <c r="G82" s="6" t="n">
        <f aca="false">F82-C82</f>
        <v>-15.9512878005831</v>
      </c>
      <c r="H82" s="4" t="str">
        <f aca="false">IF(G82&gt;2,"LATE",IF(G82&lt;-13,"EARLY","IN"))</f>
        <v>EARLY</v>
      </c>
      <c r="I82" s="4" t="n">
        <f aca="false">C82-D82</f>
        <v>27</v>
      </c>
    </row>
    <row r="83" customFormat="false" ht="15" hidden="false" customHeight="false" outlineLevel="0" collapsed="false">
      <c r="A83" s="4" t="n">
        <v>2</v>
      </c>
      <c r="B83" s="4" t="n">
        <v>131</v>
      </c>
      <c r="C83" s="4" t="n">
        <v>263</v>
      </c>
      <c r="D83" s="4" t="n">
        <v>234</v>
      </c>
      <c r="E83" s="6" t="n">
        <v>16.6507301351296</v>
      </c>
      <c r="F83" s="6" t="n">
        <f aca="false">D83+E83</f>
        <v>250.65073013513</v>
      </c>
      <c r="G83" s="6" t="n">
        <f aca="false">F83-C83</f>
        <v>-12.3492698648704</v>
      </c>
      <c r="H83" s="4" t="str">
        <f aca="false">IF(G83&gt;2,"LATE",IF(G83&lt;-13,"EARLY","IN"))</f>
        <v>IN</v>
      </c>
      <c r="I83" s="4" t="n">
        <f aca="false">C83-D83</f>
        <v>29</v>
      </c>
    </row>
    <row r="84" customFormat="false" ht="15" hidden="false" customHeight="false" outlineLevel="0" collapsed="false">
      <c r="A84" s="4" t="n">
        <v>2</v>
      </c>
      <c r="B84" s="4" t="n">
        <v>132</v>
      </c>
      <c r="C84" s="4" t="n">
        <v>199</v>
      </c>
      <c r="D84" s="4" t="n">
        <v>187</v>
      </c>
      <c r="E84" s="6" t="n">
        <v>11.6417414787947</v>
      </c>
      <c r="F84" s="6" t="n">
        <f aca="false">D84+E84</f>
        <v>198.641741478795</v>
      </c>
      <c r="G84" s="6" t="n">
        <f aca="false">F84-C84</f>
        <v>-0.3582585212053</v>
      </c>
      <c r="H84" s="4" t="str">
        <f aca="false">IF(G84&gt;2,"LATE",IF(G84&lt;-13,"EARLY","IN"))</f>
        <v>IN</v>
      </c>
      <c r="I84" s="4" t="n">
        <f aca="false">C84-D84</f>
        <v>12</v>
      </c>
    </row>
    <row r="85" customFormat="false" ht="15" hidden="false" customHeight="false" outlineLevel="0" collapsed="false">
      <c r="A85" s="4" t="n">
        <v>2</v>
      </c>
      <c r="B85" s="4" t="n">
        <v>133</v>
      </c>
      <c r="C85" s="4" t="n">
        <v>151</v>
      </c>
      <c r="D85" s="4" t="n">
        <v>135</v>
      </c>
      <c r="E85" s="6" t="n">
        <v>14.4661778287625</v>
      </c>
      <c r="F85" s="6" t="n">
        <f aca="false">D85+E85</f>
        <v>149.466177828763</v>
      </c>
      <c r="G85" s="6" t="n">
        <f aca="false">F85-C85</f>
        <v>-1.53382217123749</v>
      </c>
      <c r="H85" s="4" t="str">
        <f aca="false">IF(G85&gt;2,"LATE",IF(G85&lt;-13,"EARLY","IN"))</f>
        <v>IN</v>
      </c>
      <c r="I85" s="4" t="n">
        <f aca="false">C85-D85</f>
        <v>16</v>
      </c>
    </row>
    <row r="86" customFormat="false" ht="15" hidden="false" customHeight="false" outlineLevel="0" collapsed="false">
      <c r="A86" s="4" t="n">
        <v>2</v>
      </c>
      <c r="B86" s="4" t="n">
        <v>135</v>
      </c>
      <c r="C86" s="4" t="n">
        <v>188</v>
      </c>
      <c r="D86" s="4" t="n">
        <v>170</v>
      </c>
      <c r="E86" s="6" t="n">
        <v>18.8888715620425</v>
      </c>
      <c r="F86" s="6" t="n">
        <f aca="false">D86+E86</f>
        <v>188.888871562043</v>
      </c>
      <c r="G86" s="6" t="n">
        <f aca="false">F86-C86</f>
        <v>0.888871562042539</v>
      </c>
      <c r="H86" s="4" t="str">
        <f aca="false">IF(G86&gt;2,"LATE",IF(G86&lt;-13,"EARLY","IN"))</f>
        <v>IN</v>
      </c>
      <c r="I86" s="4" t="n">
        <f aca="false">C86-D86</f>
        <v>18</v>
      </c>
    </row>
    <row r="87" customFormat="false" ht="15" hidden="false" customHeight="false" outlineLevel="0" collapsed="false">
      <c r="A87" s="4" t="n">
        <v>2</v>
      </c>
      <c r="B87" s="4" t="n">
        <v>136</v>
      </c>
      <c r="C87" s="4" t="n">
        <v>232</v>
      </c>
      <c r="D87" s="4" t="n">
        <v>205</v>
      </c>
      <c r="E87" s="6" t="n">
        <v>15.3249647047778</v>
      </c>
      <c r="F87" s="6" t="n">
        <f aca="false">D87+E87</f>
        <v>220.324964704778</v>
      </c>
      <c r="G87" s="6" t="n">
        <f aca="false">F87-C87</f>
        <v>-11.6750352952222</v>
      </c>
      <c r="H87" s="4" t="str">
        <f aca="false">IF(G87&gt;2,"LATE",IF(G87&lt;-13,"EARLY","IN"))</f>
        <v>IN</v>
      </c>
      <c r="I87" s="4" t="n">
        <f aca="false">C87-D87</f>
        <v>27</v>
      </c>
    </row>
    <row r="88" customFormat="false" ht="15" hidden="false" customHeight="false" outlineLevel="0" collapsed="false">
      <c r="A88" s="4" t="n">
        <v>2</v>
      </c>
      <c r="B88" s="4" t="n">
        <v>147</v>
      </c>
      <c r="C88" s="4" t="n">
        <v>323</v>
      </c>
      <c r="D88" s="4" t="n">
        <v>285</v>
      </c>
      <c r="E88" s="6" t="n">
        <v>15.5067780715832</v>
      </c>
      <c r="F88" s="6" t="n">
        <f aca="false">D88+E88</f>
        <v>300.506778071583</v>
      </c>
      <c r="G88" s="6" t="n">
        <f aca="false">F88-C88</f>
        <v>-22.4932219284168</v>
      </c>
      <c r="H88" s="4" t="str">
        <f aca="false">IF(G88&gt;2,"LATE",IF(G88&lt;-13,"EARLY","IN"))</f>
        <v>EARLY</v>
      </c>
      <c r="I88" s="4" t="n">
        <f aca="false">C88-D88</f>
        <v>38</v>
      </c>
    </row>
    <row r="89" customFormat="false" ht="15" hidden="false" customHeight="false" outlineLevel="0" collapsed="false">
      <c r="A89" s="4" t="n">
        <v>2</v>
      </c>
      <c r="B89" s="4" t="n">
        <v>155</v>
      </c>
      <c r="C89" s="4" t="n">
        <v>221</v>
      </c>
      <c r="D89" s="4" t="n">
        <v>204</v>
      </c>
      <c r="E89" s="6" t="n">
        <v>12.753103562333</v>
      </c>
      <c r="F89" s="6" t="n">
        <f aca="false">D89+E89</f>
        <v>216.753103562333</v>
      </c>
      <c r="G89" s="6" t="n">
        <f aca="false">F89-C89</f>
        <v>-4.24689643766703</v>
      </c>
      <c r="H89" s="4" t="str">
        <f aca="false">IF(G89&gt;2,"LATE",IF(G89&lt;-13,"EARLY","IN"))</f>
        <v>IN</v>
      </c>
      <c r="I89" s="4" t="n">
        <f aca="false">C89-D89</f>
        <v>17</v>
      </c>
    </row>
    <row r="90" customFormat="false" ht="15" hidden="false" customHeight="false" outlineLevel="0" collapsed="false">
      <c r="A90" s="4" t="n">
        <v>2</v>
      </c>
      <c r="B90" s="4" t="n">
        <v>156</v>
      </c>
      <c r="C90" s="4" t="n">
        <v>228</v>
      </c>
      <c r="D90" s="4" t="n">
        <v>214</v>
      </c>
      <c r="E90" s="6" t="n">
        <v>11.123339891205</v>
      </c>
      <c r="F90" s="6" t="n">
        <f aca="false">D90+E90</f>
        <v>225.123339891205</v>
      </c>
      <c r="G90" s="6" t="n">
        <f aca="false">F90-C90</f>
        <v>-2.87666010879502</v>
      </c>
      <c r="H90" s="4" t="str">
        <f aca="false">IF(G90&gt;2,"LATE",IF(G90&lt;-13,"EARLY","IN"))</f>
        <v>IN</v>
      </c>
      <c r="I90" s="4" t="n">
        <f aca="false">C90-D90</f>
        <v>14</v>
      </c>
    </row>
    <row r="91" customFormat="false" ht="15" hidden="false" customHeight="false" outlineLevel="0" collapsed="false">
      <c r="A91" s="4" t="n">
        <v>2</v>
      </c>
      <c r="B91" s="4" t="n">
        <v>157</v>
      </c>
      <c r="C91" s="4" t="n">
        <v>202</v>
      </c>
      <c r="D91" s="4" t="n">
        <v>184</v>
      </c>
      <c r="E91" s="6" t="n">
        <v>14.2410026653972</v>
      </c>
      <c r="F91" s="6" t="n">
        <f aca="false">D91+E91</f>
        <v>198.241002665397</v>
      </c>
      <c r="G91" s="6" t="n">
        <f aca="false">F91-C91</f>
        <v>-3.75899733460278</v>
      </c>
      <c r="H91" s="4" t="str">
        <f aca="false">IF(G91&gt;2,"LATE",IF(G91&lt;-13,"EARLY","IN"))</f>
        <v>IN</v>
      </c>
      <c r="I91" s="4" t="n">
        <f aca="false">C91-D91</f>
        <v>18</v>
      </c>
    </row>
    <row r="92" customFormat="false" ht="15" hidden="false" customHeight="false" outlineLevel="0" collapsed="false">
      <c r="A92" s="4" t="n">
        <v>2</v>
      </c>
      <c r="B92" s="4" t="n">
        <v>161</v>
      </c>
      <c r="C92" s="4" t="n">
        <v>184</v>
      </c>
      <c r="D92" s="4" t="n">
        <v>169</v>
      </c>
      <c r="E92" s="6" t="n">
        <v>12.3641794738835</v>
      </c>
      <c r="F92" s="6" t="n">
        <f aca="false">D92+E92</f>
        <v>181.364179473884</v>
      </c>
      <c r="G92" s="6" t="n">
        <f aca="false">F92-C92</f>
        <v>-2.63582052611645</v>
      </c>
      <c r="H92" s="4" t="str">
        <f aca="false">IF(G92&gt;2,"LATE",IF(G92&lt;-13,"EARLY","IN"))</f>
        <v>IN</v>
      </c>
      <c r="I92" s="4" t="n">
        <f aca="false">C92-D92</f>
        <v>15</v>
      </c>
    </row>
    <row r="93" customFormat="false" ht="15" hidden="false" customHeight="false" outlineLevel="0" collapsed="false">
      <c r="A93" s="4" t="n">
        <v>2</v>
      </c>
      <c r="B93" s="4" t="n">
        <v>167</v>
      </c>
      <c r="C93" s="4" t="n">
        <v>177</v>
      </c>
      <c r="D93" s="4" t="n">
        <v>166</v>
      </c>
      <c r="E93" s="6" t="n">
        <v>10.0207386691157</v>
      </c>
      <c r="F93" s="6" t="n">
        <f aca="false">D93+E93</f>
        <v>176.020738669116</v>
      </c>
      <c r="G93" s="6" t="n">
        <f aca="false">F93-C93</f>
        <v>-0.97926133088427</v>
      </c>
      <c r="H93" s="4" t="str">
        <f aca="false">IF(G93&gt;2,"LATE",IF(G93&lt;-13,"EARLY","IN"))</f>
        <v>IN</v>
      </c>
      <c r="I93" s="4" t="n">
        <f aca="false">C93-D93</f>
        <v>11</v>
      </c>
    </row>
    <row r="94" customFormat="false" ht="15" hidden="false" customHeight="false" outlineLevel="0" collapsed="false">
      <c r="A94" s="4" t="n">
        <v>2</v>
      </c>
      <c r="B94" s="4" t="n">
        <v>171</v>
      </c>
      <c r="C94" s="4" t="n">
        <v>258</v>
      </c>
      <c r="D94" s="4" t="n">
        <v>233</v>
      </c>
      <c r="E94" s="6" t="n">
        <v>16.3293485700921</v>
      </c>
      <c r="F94" s="6" t="n">
        <f aca="false">D94+E94</f>
        <v>249.329348570092</v>
      </c>
      <c r="G94" s="6" t="n">
        <f aca="false">F94-C94</f>
        <v>-8.67065142990791</v>
      </c>
      <c r="H94" s="4" t="str">
        <f aca="false">IF(G94&gt;2,"LATE",IF(G94&lt;-13,"EARLY","IN"))</f>
        <v>IN</v>
      </c>
      <c r="I94" s="4" t="n">
        <f aca="false">C94-D94</f>
        <v>25</v>
      </c>
    </row>
    <row r="95" customFormat="false" ht="15" hidden="false" customHeight="false" outlineLevel="0" collapsed="false">
      <c r="A95" s="4" t="n">
        <v>2</v>
      </c>
      <c r="B95" s="4" t="n">
        <v>177</v>
      </c>
      <c r="C95" s="4" t="n">
        <v>218</v>
      </c>
      <c r="D95" s="4" t="n">
        <v>204</v>
      </c>
      <c r="E95" s="6" t="n">
        <v>15.2794728627187</v>
      </c>
      <c r="F95" s="6" t="n">
        <f aca="false">D95+E95</f>
        <v>219.279472862719</v>
      </c>
      <c r="G95" s="6" t="n">
        <f aca="false">F95-C95</f>
        <v>1.27947286271868</v>
      </c>
      <c r="H95" s="4" t="str">
        <f aca="false">IF(G95&gt;2,"LATE",IF(G95&lt;-13,"EARLY","IN"))</f>
        <v>IN</v>
      </c>
      <c r="I95" s="4" t="n">
        <f aca="false">C95-D95</f>
        <v>14</v>
      </c>
    </row>
    <row r="96" customFormat="false" ht="15" hidden="false" customHeight="false" outlineLevel="0" collapsed="false">
      <c r="A96" s="4" t="n">
        <v>2</v>
      </c>
      <c r="B96" s="4" t="n">
        <v>181</v>
      </c>
      <c r="C96" s="4" t="n">
        <v>161</v>
      </c>
      <c r="D96" s="4" t="n">
        <v>141</v>
      </c>
      <c r="E96" s="6" t="n">
        <v>10.380880080808</v>
      </c>
      <c r="F96" s="6" t="n">
        <f aca="false">D96+E96</f>
        <v>151.380880080808</v>
      </c>
      <c r="G96" s="6" t="n">
        <f aca="false">F96-C96</f>
        <v>-9.61911991919203</v>
      </c>
      <c r="H96" s="4" t="str">
        <f aca="false">IF(G96&gt;2,"LATE",IF(G96&lt;-13,"EARLY","IN"))</f>
        <v>IN</v>
      </c>
      <c r="I96" s="4" t="n">
        <f aca="false">C96-D96</f>
        <v>20</v>
      </c>
    </row>
    <row r="97" customFormat="false" ht="15" hidden="false" customHeight="false" outlineLevel="0" collapsed="false">
      <c r="A97" s="4" t="n">
        <v>2</v>
      </c>
      <c r="B97" s="4" t="n">
        <v>182</v>
      </c>
      <c r="C97" s="4" t="n">
        <v>220</v>
      </c>
      <c r="D97" s="4" t="n">
        <v>194</v>
      </c>
      <c r="E97" s="6" t="n">
        <v>15.863563832247</v>
      </c>
      <c r="F97" s="6" t="n">
        <f aca="false">D97+E97</f>
        <v>209.863563832247</v>
      </c>
      <c r="G97" s="6" t="n">
        <f aca="false">F97-C97</f>
        <v>-10.1364361677529</v>
      </c>
      <c r="H97" s="4" t="str">
        <f aca="false">IF(G97&gt;2,"LATE",IF(G97&lt;-13,"EARLY","IN"))</f>
        <v>IN</v>
      </c>
      <c r="I97" s="4" t="n">
        <f aca="false">C97-D97</f>
        <v>26</v>
      </c>
    </row>
    <row r="98" customFormat="false" ht="15" hidden="false" customHeight="false" outlineLevel="0" collapsed="false">
      <c r="A98" s="4" t="n">
        <v>2</v>
      </c>
      <c r="B98" s="4" t="n">
        <v>193</v>
      </c>
      <c r="C98" s="4" t="n">
        <v>223</v>
      </c>
      <c r="D98" s="4" t="n">
        <v>196</v>
      </c>
      <c r="E98" s="6" t="n">
        <v>18.4701360392946</v>
      </c>
      <c r="F98" s="6" t="n">
        <f aca="false">D98+E98</f>
        <v>214.470136039295</v>
      </c>
      <c r="G98" s="6" t="n">
        <f aca="false">F98-C98</f>
        <v>-8.5298639607054</v>
      </c>
      <c r="H98" s="4" t="str">
        <f aca="false">IF(G98&gt;2,"LATE",IF(G98&lt;-13,"EARLY","IN"))</f>
        <v>IN</v>
      </c>
      <c r="I98" s="4" t="n">
        <f aca="false">C98-D98</f>
        <v>27</v>
      </c>
    </row>
    <row r="99" customFormat="false" ht="15" hidden="false" customHeight="false" outlineLevel="0" collapsed="false">
      <c r="A99" s="4" t="n">
        <v>2</v>
      </c>
      <c r="B99" s="4" t="n">
        <v>194</v>
      </c>
      <c r="C99" s="4" t="n">
        <v>246</v>
      </c>
      <c r="D99" s="4" t="n">
        <v>221</v>
      </c>
      <c r="E99" s="6" t="n">
        <v>14.5295799244524</v>
      </c>
      <c r="F99" s="6" t="n">
        <f aca="false">D99+E99</f>
        <v>235.529579924452</v>
      </c>
      <c r="G99" s="6" t="n">
        <f aca="false">F99-C99</f>
        <v>-10.4704200755477</v>
      </c>
      <c r="H99" s="4" t="str">
        <f aca="false">IF(G99&gt;2,"LATE",IF(G99&lt;-13,"EARLY","IN"))</f>
        <v>IN</v>
      </c>
      <c r="I99" s="4" t="n">
        <f aca="false">C99-D99</f>
        <v>25</v>
      </c>
    </row>
    <row r="100" customFormat="false" ht="15" hidden="false" customHeight="false" outlineLevel="0" collapsed="false">
      <c r="A100" s="4" t="n">
        <v>2</v>
      </c>
      <c r="B100" s="4" t="n">
        <v>205</v>
      </c>
      <c r="C100" s="4" t="n">
        <v>135</v>
      </c>
      <c r="D100" s="4" t="n">
        <v>120</v>
      </c>
      <c r="E100" s="6" t="n">
        <v>15.1325906195363</v>
      </c>
      <c r="F100" s="6" t="n">
        <f aca="false">D100+E100</f>
        <v>135.132590619536</v>
      </c>
      <c r="G100" s="6" t="n">
        <f aca="false">F100-C100</f>
        <v>0.132590619536273</v>
      </c>
      <c r="H100" s="4" t="str">
        <f aca="false">IF(G100&gt;2,"LATE",IF(G100&lt;-13,"EARLY","IN"))</f>
        <v>IN</v>
      </c>
      <c r="I100" s="4" t="n">
        <f aca="false">C100-D100</f>
        <v>15</v>
      </c>
    </row>
    <row r="101" customFormat="false" ht="15" hidden="false" customHeight="false" outlineLevel="0" collapsed="false">
      <c r="A101" s="4" t="n">
        <v>2</v>
      </c>
      <c r="B101" s="4" t="n">
        <v>209</v>
      </c>
      <c r="C101" s="4" t="n">
        <v>252</v>
      </c>
      <c r="D101" s="4" t="n">
        <v>229</v>
      </c>
      <c r="E101" s="6" t="n">
        <v>13.9893779553829</v>
      </c>
      <c r="F101" s="6" t="n">
        <f aca="false">D101+E101</f>
        <v>242.989377955383</v>
      </c>
      <c r="G101" s="6" t="n">
        <f aca="false">F101-C101</f>
        <v>-9.01062204461709</v>
      </c>
      <c r="H101" s="4" t="str">
        <f aca="false">IF(G101&gt;2,"LATE",IF(G101&lt;-13,"EARLY","IN"))</f>
        <v>IN</v>
      </c>
      <c r="I101" s="4" t="n">
        <f aca="false">C101-D101</f>
        <v>23</v>
      </c>
    </row>
    <row r="102" customFormat="false" ht="15" hidden="false" customHeight="false" outlineLevel="0" collapsed="false">
      <c r="A102" s="4" t="n">
        <v>3</v>
      </c>
      <c r="B102" s="4" t="n">
        <v>1</v>
      </c>
      <c r="C102" s="4" t="n">
        <v>223</v>
      </c>
      <c r="D102" s="4" t="n">
        <v>202</v>
      </c>
      <c r="E102" s="6" t="n">
        <v>15.1475622151299</v>
      </c>
      <c r="F102" s="6" t="n">
        <f aca="false">D102+E102</f>
        <v>217.14756221513</v>
      </c>
      <c r="G102" s="6" t="n">
        <f aca="false">F102-C102</f>
        <v>-5.85243778487009</v>
      </c>
      <c r="H102" s="4" t="str">
        <f aca="false">IF(G102&gt;2,"LATE",IF(G102&lt;-13,"EARLY","IN"))</f>
        <v>IN</v>
      </c>
      <c r="I102" s="4" t="n">
        <f aca="false">C102-D102</f>
        <v>21</v>
      </c>
    </row>
    <row r="103" customFormat="false" ht="15" hidden="false" customHeight="false" outlineLevel="0" collapsed="false">
      <c r="A103" s="4" t="n">
        <v>3</v>
      </c>
      <c r="B103" s="4" t="n">
        <v>19</v>
      </c>
      <c r="C103" s="4" t="n">
        <v>167</v>
      </c>
      <c r="D103" s="4" t="n">
        <v>147</v>
      </c>
      <c r="E103" s="6" t="n">
        <v>13.6982728004373</v>
      </c>
      <c r="F103" s="6" t="n">
        <f aca="false">D103+E103</f>
        <v>160.698272800437</v>
      </c>
      <c r="G103" s="6" t="n">
        <f aca="false">F103-C103</f>
        <v>-6.30172719956266</v>
      </c>
      <c r="H103" s="4" t="str">
        <f aca="false">IF(G103&gt;2,"LATE",IF(G103&lt;-13,"EARLY","IN"))</f>
        <v>IN</v>
      </c>
      <c r="I103" s="4" t="n">
        <f aca="false">C103-D103</f>
        <v>20</v>
      </c>
    </row>
    <row r="104" customFormat="false" ht="15" hidden="false" customHeight="false" outlineLevel="0" collapsed="false">
      <c r="A104" s="4" t="n">
        <v>3</v>
      </c>
      <c r="B104" s="4" t="n">
        <v>23</v>
      </c>
      <c r="C104" s="4" t="n">
        <v>213</v>
      </c>
      <c r="D104" s="4" t="n">
        <v>201</v>
      </c>
      <c r="E104" s="6" t="n">
        <v>11.0132748217664</v>
      </c>
      <c r="F104" s="6" t="n">
        <f aca="false">D104+E104</f>
        <v>212.013274821766</v>
      </c>
      <c r="G104" s="6" t="n">
        <f aca="false">F104-C104</f>
        <v>-0.986725178233627</v>
      </c>
      <c r="H104" s="4" t="str">
        <f aca="false">IF(G104&gt;2,"LATE",IF(G104&lt;-13,"EARLY","IN"))</f>
        <v>IN</v>
      </c>
      <c r="I104" s="4" t="n">
        <f aca="false">C104-D104</f>
        <v>12</v>
      </c>
    </row>
    <row r="105" customFormat="false" ht="15" hidden="false" customHeight="false" outlineLevel="0" collapsed="false">
      <c r="A105" s="4" t="n">
        <v>3</v>
      </c>
      <c r="B105" s="4" t="n">
        <v>28</v>
      </c>
      <c r="C105" s="4" t="n">
        <v>278</v>
      </c>
      <c r="D105" s="4" t="n">
        <v>261</v>
      </c>
      <c r="E105" s="6" t="n">
        <v>14.0804862319466</v>
      </c>
      <c r="F105" s="6" t="n">
        <f aca="false">D105+E105</f>
        <v>275.080486231947</v>
      </c>
      <c r="G105" s="6" t="n">
        <f aca="false">F105-C105</f>
        <v>-2.91951376805343</v>
      </c>
      <c r="H105" s="4" t="str">
        <f aca="false">IF(G105&gt;2,"LATE",IF(G105&lt;-13,"EARLY","IN"))</f>
        <v>IN</v>
      </c>
      <c r="I105" s="4" t="n">
        <f aca="false">C105-D105</f>
        <v>17</v>
      </c>
    </row>
    <row r="106" customFormat="false" ht="15" hidden="false" customHeight="false" outlineLevel="0" collapsed="false">
      <c r="A106" s="4" t="n">
        <v>3</v>
      </c>
      <c r="B106" s="4" t="n">
        <v>32</v>
      </c>
      <c r="C106" s="4" t="n">
        <v>193</v>
      </c>
      <c r="D106" s="4" t="n">
        <v>176</v>
      </c>
      <c r="E106" s="6" t="n">
        <v>19.1710239832404</v>
      </c>
      <c r="F106" s="6" t="n">
        <f aca="false">D106+E106</f>
        <v>195.17102398324</v>
      </c>
      <c r="G106" s="6" t="n">
        <f aca="false">F106-C106</f>
        <v>2.17102398324042</v>
      </c>
      <c r="H106" s="4" t="str">
        <f aca="false">IF(G106&gt;2,"LATE",IF(G106&lt;-13,"EARLY","IN"))</f>
        <v>LATE</v>
      </c>
      <c r="I106" s="4" t="n">
        <f aca="false">C106-D106</f>
        <v>17</v>
      </c>
    </row>
    <row r="107" customFormat="false" ht="15" hidden="false" customHeight="false" outlineLevel="0" collapsed="false">
      <c r="A107" s="4" t="n">
        <v>3</v>
      </c>
      <c r="B107" s="4" t="n">
        <v>39</v>
      </c>
      <c r="C107" s="4" t="n">
        <v>161</v>
      </c>
      <c r="D107" s="4" t="n">
        <v>142</v>
      </c>
      <c r="E107" s="6" t="n">
        <v>17.2334445456346</v>
      </c>
      <c r="F107" s="6" t="n">
        <f aca="false">D107+E107</f>
        <v>159.233444545635</v>
      </c>
      <c r="G107" s="6" t="n">
        <f aca="false">F107-C107</f>
        <v>-1.76655545436543</v>
      </c>
      <c r="H107" s="4" t="str">
        <f aca="false">IF(G107&gt;2,"LATE",IF(G107&lt;-13,"EARLY","IN"))</f>
        <v>IN</v>
      </c>
      <c r="I107" s="4" t="n">
        <f aca="false">C107-D107</f>
        <v>19</v>
      </c>
    </row>
    <row r="108" customFormat="false" ht="15" hidden="false" customHeight="false" outlineLevel="0" collapsed="false">
      <c r="A108" s="4" t="n">
        <v>3</v>
      </c>
      <c r="B108" s="4" t="n">
        <v>42</v>
      </c>
      <c r="C108" s="4" t="n">
        <v>241</v>
      </c>
      <c r="D108" s="4" t="n">
        <v>218</v>
      </c>
      <c r="E108" s="6" t="n">
        <v>19.8168706152019</v>
      </c>
      <c r="F108" s="6" t="n">
        <f aca="false">D108+E108</f>
        <v>237.816870615202</v>
      </c>
      <c r="G108" s="6" t="n">
        <f aca="false">F108-C108</f>
        <v>-3.18312938479809</v>
      </c>
      <c r="H108" s="4" t="str">
        <f aca="false">IF(G108&gt;2,"LATE",IF(G108&lt;-13,"EARLY","IN"))</f>
        <v>IN</v>
      </c>
      <c r="I108" s="4" t="n">
        <f aca="false">C108-D108</f>
        <v>23</v>
      </c>
    </row>
    <row r="109" customFormat="false" ht="15" hidden="false" customHeight="false" outlineLevel="0" collapsed="false">
      <c r="A109" s="4" t="n">
        <v>3</v>
      </c>
      <c r="B109" s="4" t="n">
        <v>45</v>
      </c>
      <c r="C109" s="4" t="n">
        <v>242</v>
      </c>
      <c r="D109" s="4" t="n">
        <v>223</v>
      </c>
      <c r="E109" s="6" t="n">
        <v>14.7151055271096</v>
      </c>
      <c r="F109" s="6" t="n">
        <f aca="false">D109+E109</f>
        <v>237.71510552711</v>
      </c>
      <c r="G109" s="6" t="n">
        <f aca="false">F109-C109</f>
        <v>-4.28489447289041</v>
      </c>
      <c r="H109" s="4" t="str">
        <f aca="false">IF(G109&gt;2,"LATE",IF(G109&lt;-13,"EARLY","IN"))</f>
        <v>IN</v>
      </c>
      <c r="I109" s="4" t="n">
        <f aca="false">C109-D109</f>
        <v>19</v>
      </c>
    </row>
    <row r="110" customFormat="false" ht="15" hidden="false" customHeight="false" outlineLevel="0" collapsed="false">
      <c r="A110" s="4" t="n">
        <v>3</v>
      </c>
      <c r="B110" s="4" t="n">
        <v>48</v>
      </c>
      <c r="C110" s="4" t="n">
        <v>227</v>
      </c>
      <c r="D110" s="4" t="n">
        <v>211</v>
      </c>
      <c r="E110" s="6" t="n">
        <v>15.4119264165677</v>
      </c>
      <c r="F110" s="6" t="n">
        <f aca="false">D110+E110</f>
        <v>226.411926416568</v>
      </c>
      <c r="G110" s="6" t="n">
        <f aca="false">F110-C110</f>
        <v>-0.588073583432276</v>
      </c>
      <c r="H110" s="4" t="str">
        <f aca="false">IF(G110&gt;2,"LATE",IF(G110&lt;-13,"EARLY","IN"))</f>
        <v>IN</v>
      </c>
      <c r="I110" s="4" t="n">
        <f aca="false">C110-D110</f>
        <v>16</v>
      </c>
    </row>
    <row r="111" customFormat="false" ht="15" hidden="false" customHeight="false" outlineLevel="0" collapsed="false">
      <c r="A111" s="4" t="n">
        <v>3</v>
      </c>
      <c r="B111" s="4" t="n">
        <v>50</v>
      </c>
      <c r="C111" s="4" t="n">
        <v>223</v>
      </c>
      <c r="D111" s="4" t="n">
        <v>204</v>
      </c>
      <c r="E111" s="6" t="n">
        <v>11.9681775263745</v>
      </c>
      <c r="F111" s="6" t="n">
        <f aca="false">D111+E111</f>
        <v>215.968177526374</v>
      </c>
      <c r="G111" s="6" t="n">
        <f aca="false">F111-C111</f>
        <v>-7.03182247362554</v>
      </c>
      <c r="H111" s="4" t="str">
        <f aca="false">IF(G111&gt;2,"LATE",IF(G111&lt;-13,"EARLY","IN"))</f>
        <v>IN</v>
      </c>
      <c r="I111" s="4" t="n">
        <f aca="false">C111-D111</f>
        <v>19</v>
      </c>
    </row>
    <row r="112" customFormat="false" ht="15" hidden="false" customHeight="false" outlineLevel="0" collapsed="false">
      <c r="A112" s="4" t="n">
        <v>3</v>
      </c>
      <c r="B112" s="4" t="n">
        <v>51</v>
      </c>
      <c r="C112" s="4" t="n">
        <v>182</v>
      </c>
      <c r="D112" s="4" t="n">
        <v>166</v>
      </c>
      <c r="E112" s="6" t="n">
        <v>18.521667899976</v>
      </c>
      <c r="F112" s="6" t="n">
        <f aca="false">D112+E112</f>
        <v>184.521667899976</v>
      </c>
      <c r="G112" s="6" t="n">
        <f aca="false">F112-C112</f>
        <v>2.52166789997597</v>
      </c>
      <c r="H112" s="4" t="str">
        <f aca="false">IF(G112&gt;2,"LATE",IF(G112&lt;-13,"EARLY","IN"))</f>
        <v>LATE</v>
      </c>
      <c r="I112" s="4" t="n">
        <f aca="false">C112-D112</f>
        <v>16</v>
      </c>
    </row>
    <row r="113" customFormat="false" ht="15" hidden="false" customHeight="false" outlineLevel="0" collapsed="false">
      <c r="A113" s="4" t="n">
        <v>3</v>
      </c>
      <c r="B113" s="4" t="n">
        <v>53</v>
      </c>
      <c r="C113" s="4" t="n">
        <v>259</v>
      </c>
      <c r="D113" s="4" t="n">
        <v>238</v>
      </c>
      <c r="E113" s="6" t="n">
        <v>18.7440661671099</v>
      </c>
      <c r="F113" s="6" t="n">
        <f aca="false">D113+E113</f>
        <v>256.74406616711</v>
      </c>
      <c r="G113" s="6" t="n">
        <f aca="false">F113-C113</f>
        <v>-2.25593383289015</v>
      </c>
      <c r="H113" s="4" t="str">
        <f aca="false">IF(G113&gt;2,"LATE",IF(G113&lt;-13,"EARLY","IN"))</f>
        <v>IN</v>
      </c>
      <c r="I113" s="4" t="n">
        <f aca="false">C113-D113</f>
        <v>21</v>
      </c>
    </row>
    <row r="114" customFormat="false" ht="15" hidden="false" customHeight="false" outlineLevel="0" collapsed="false">
      <c r="A114" s="4" t="n">
        <v>3</v>
      </c>
      <c r="B114" s="4" t="n">
        <v>59</v>
      </c>
      <c r="C114" s="4" t="n">
        <v>169</v>
      </c>
      <c r="D114" s="4" t="n">
        <v>154</v>
      </c>
      <c r="E114" s="6" t="n">
        <v>14.426484451811</v>
      </c>
      <c r="F114" s="6" t="n">
        <f aca="false">D114+E114</f>
        <v>168.426484451811</v>
      </c>
      <c r="G114" s="6" t="n">
        <f aca="false">F114-C114</f>
        <v>-0.573515548189022</v>
      </c>
      <c r="H114" s="4" t="str">
        <f aca="false">IF(G114&gt;2,"LATE",IF(G114&lt;-13,"EARLY","IN"))</f>
        <v>IN</v>
      </c>
      <c r="I114" s="4" t="n">
        <f aca="false">C114-D114</f>
        <v>15</v>
      </c>
    </row>
    <row r="115" customFormat="false" ht="15" hidden="false" customHeight="false" outlineLevel="0" collapsed="false">
      <c r="A115" s="4" t="n">
        <v>3</v>
      </c>
      <c r="B115" s="4" t="n">
        <v>62</v>
      </c>
      <c r="C115" s="4" t="n">
        <v>238</v>
      </c>
      <c r="D115" s="4" t="n">
        <v>219</v>
      </c>
      <c r="E115" s="6" t="n">
        <v>12.0573867685839</v>
      </c>
      <c r="F115" s="6" t="n">
        <f aca="false">D115+E115</f>
        <v>231.057386768584</v>
      </c>
      <c r="G115" s="6" t="n">
        <f aca="false">F115-C115</f>
        <v>-6.94261323141609</v>
      </c>
      <c r="H115" s="4" t="str">
        <f aca="false">IF(G115&gt;2,"LATE",IF(G115&lt;-13,"EARLY","IN"))</f>
        <v>IN</v>
      </c>
      <c r="I115" s="4" t="n">
        <f aca="false">C115-D115</f>
        <v>19</v>
      </c>
    </row>
    <row r="116" customFormat="false" ht="15" hidden="false" customHeight="false" outlineLevel="0" collapsed="false">
      <c r="A116" s="4" t="n">
        <v>3</v>
      </c>
      <c r="B116" s="4" t="n">
        <v>71</v>
      </c>
      <c r="C116" s="4" t="n">
        <v>225</v>
      </c>
      <c r="D116" s="4" t="n">
        <v>202</v>
      </c>
      <c r="E116" s="6" t="n">
        <v>16.683374015446</v>
      </c>
      <c r="F116" s="6" t="n">
        <f aca="false">D116+E116</f>
        <v>218.683374015446</v>
      </c>
      <c r="G116" s="6" t="n">
        <f aca="false">F116-C116</f>
        <v>-6.31662598455398</v>
      </c>
      <c r="H116" s="4" t="str">
        <f aca="false">IF(G116&gt;2,"LATE",IF(G116&lt;-13,"EARLY","IN"))</f>
        <v>IN</v>
      </c>
      <c r="I116" s="4" t="n">
        <f aca="false">C116-D116</f>
        <v>23</v>
      </c>
    </row>
    <row r="117" customFormat="false" ht="15" hidden="false" customHeight="false" outlineLevel="0" collapsed="false">
      <c r="A117" s="4" t="n">
        <v>3</v>
      </c>
      <c r="B117" s="4" t="n">
        <v>75</v>
      </c>
      <c r="C117" s="4" t="n">
        <v>186</v>
      </c>
      <c r="D117" s="4" t="n">
        <v>167</v>
      </c>
      <c r="E117" s="6" t="n">
        <v>19.0500027138282</v>
      </c>
      <c r="F117" s="6" t="n">
        <f aca="false">D117+E117</f>
        <v>186.050002713828</v>
      </c>
      <c r="G117" s="6" t="n">
        <f aca="false">F117-C117</f>
        <v>0.0500027138282064</v>
      </c>
      <c r="H117" s="4" t="str">
        <f aca="false">IF(G117&gt;2,"LATE",IF(G117&lt;-13,"EARLY","IN"))</f>
        <v>IN</v>
      </c>
      <c r="I117" s="4" t="n">
        <f aca="false">C117-D117</f>
        <v>19</v>
      </c>
    </row>
    <row r="118" customFormat="false" ht="15" hidden="false" customHeight="false" outlineLevel="0" collapsed="false">
      <c r="A118" s="4" t="n">
        <v>3</v>
      </c>
      <c r="B118" s="4" t="n">
        <v>78</v>
      </c>
      <c r="C118" s="4" t="n">
        <v>228</v>
      </c>
      <c r="D118" s="4" t="n">
        <v>201</v>
      </c>
      <c r="E118" s="6" t="n">
        <v>14.6705610124393</v>
      </c>
      <c r="F118" s="6" t="n">
        <f aca="false">D118+E118</f>
        <v>215.670561012439</v>
      </c>
      <c r="G118" s="6" t="n">
        <f aca="false">F118-C118</f>
        <v>-12.3294389875607</v>
      </c>
      <c r="H118" s="4" t="str">
        <f aca="false">IF(G118&gt;2,"LATE",IF(G118&lt;-13,"EARLY","IN"))</f>
        <v>IN</v>
      </c>
      <c r="I118" s="4" t="n">
        <f aca="false">C118-D118</f>
        <v>27</v>
      </c>
    </row>
    <row r="119" customFormat="false" ht="15" hidden="false" customHeight="false" outlineLevel="0" collapsed="false">
      <c r="A119" s="4" t="n">
        <v>3</v>
      </c>
      <c r="B119" s="4" t="n">
        <v>84</v>
      </c>
      <c r="C119" s="4" t="n">
        <v>206</v>
      </c>
      <c r="D119" s="4" t="n">
        <v>187</v>
      </c>
      <c r="E119" s="6" t="n">
        <v>15.5081212495134</v>
      </c>
      <c r="F119" s="6" t="n">
        <f aca="false">D119+E119</f>
        <v>202.508121249513</v>
      </c>
      <c r="G119" s="6" t="n">
        <f aca="false">F119-C119</f>
        <v>-3.49187875048662</v>
      </c>
      <c r="H119" s="4" t="str">
        <f aca="false">IF(G119&gt;2,"LATE",IF(G119&lt;-13,"EARLY","IN"))</f>
        <v>IN</v>
      </c>
      <c r="I119" s="4" t="n">
        <f aca="false">C119-D119</f>
        <v>19</v>
      </c>
    </row>
    <row r="120" customFormat="false" ht="15" hidden="false" customHeight="false" outlineLevel="0" collapsed="false">
      <c r="A120" s="4" t="n">
        <v>3</v>
      </c>
      <c r="B120" s="4" t="n">
        <v>87</v>
      </c>
      <c r="C120" s="4" t="n">
        <v>177</v>
      </c>
      <c r="D120" s="4" t="n">
        <v>160</v>
      </c>
      <c r="E120" s="6" t="n">
        <v>12.4711530159598</v>
      </c>
      <c r="F120" s="6" t="n">
        <f aca="false">D120+E120</f>
        <v>172.47115301596</v>
      </c>
      <c r="G120" s="6" t="n">
        <f aca="false">F120-C120</f>
        <v>-4.52884698404017</v>
      </c>
      <c r="H120" s="4" t="str">
        <f aca="false">IF(G120&gt;2,"LATE",IF(G120&lt;-13,"EARLY","IN"))</f>
        <v>IN</v>
      </c>
      <c r="I120" s="4" t="n">
        <f aca="false">C120-D120</f>
        <v>17</v>
      </c>
    </row>
    <row r="121" customFormat="false" ht="15" hidden="false" customHeight="false" outlineLevel="0" collapsed="false">
      <c r="A121" s="4" t="n">
        <v>3</v>
      </c>
      <c r="B121" s="4" t="n">
        <v>90</v>
      </c>
      <c r="C121" s="4" t="n">
        <v>190</v>
      </c>
      <c r="D121" s="4" t="n">
        <v>169</v>
      </c>
      <c r="E121" s="6" t="n">
        <v>13.8987916481338</v>
      </c>
      <c r="F121" s="6" t="n">
        <f aca="false">D121+E121</f>
        <v>182.898791648134</v>
      </c>
      <c r="G121" s="6" t="n">
        <f aca="false">F121-C121</f>
        <v>-7.10120835186626</v>
      </c>
      <c r="H121" s="4" t="str">
        <f aca="false">IF(G121&gt;2,"LATE",IF(G121&lt;-13,"EARLY","IN"))</f>
        <v>IN</v>
      </c>
      <c r="I121" s="4" t="n">
        <f aca="false">C121-D121</f>
        <v>21</v>
      </c>
    </row>
    <row r="122" customFormat="false" ht="15" hidden="false" customHeight="false" outlineLevel="0" collapsed="false">
      <c r="A122" s="4" t="n">
        <v>3</v>
      </c>
      <c r="B122" s="4" t="n">
        <v>92</v>
      </c>
      <c r="C122" s="4" t="n">
        <v>207</v>
      </c>
      <c r="D122" s="4" t="n">
        <v>184</v>
      </c>
      <c r="E122" s="6" t="n">
        <v>19.3668691181535</v>
      </c>
      <c r="F122" s="6" t="n">
        <f aca="false">D122+E122</f>
        <v>203.366869118153</v>
      </c>
      <c r="G122" s="6" t="n">
        <f aca="false">F122-C122</f>
        <v>-3.63313088184654</v>
      </c>
      <c r="H122" s="4" t="str">
        <f aca="false">IF(G122&gt;2,"LATE",IF(G122&lt;-13,"EARLY","IN"))</f>
        <v>IN</v>
      </c>
      <c r="I122" s="4" t="n">
        <f aca="false">C122-D122</f>
        <v>23</v>
      </c>
    </row>
    <row r="123" customFormat="false" ht="15" hidden="false" customHeight="false" outlineLevel="0" collapsed="false">
      <c r="A123" s="4" t="n">
        <v>3</v>
      </c>
      <c r="B123" s="4" t="n">
        <v>100</v>
      </c>
      <c r="C123" s="4" t="n">
        <v>213</v>
      </c>
      <c r="D123" s="4" t="n">
        <v>193</v>
      </c>
      <c r="E123" s="6" t="n">
        <v>15.3216729264926</v>
      </c>
      <c r="F123" s="6" t="n">
        <f aca="false">D123+E123</f>
        <v>208.321672926493</v>
      </c>
      <c r="G123" s="6" t="n">
        <f aca="false">F123-C123</f>
        <v>-4.67832707350738</v>
      </c>
      <c r="H123" s="4" t="str">
        <f aca="false">IF(G123&gt;2,"LATE",IF(G123&lt;-13,"EARLY","IN"))</f>
        <v>IN</v>
      </c>
      <c r="I123" s="4" t="n">
        <f aca="false">C123-D123</f>
        <v>20</v>
      </c>
    </row>
    <row r="124" customFormat="false" ht="15" hidden="false" customHeight="false" outlineLevel="0" collapsed="false">
      <c r="A124" s="4" t="n">
        <v>3</v>
      </c>
      <c r="B124" s="4" t="n">
        <v>103</v>
      </c>
      <c r="C124" s="4" t="n">
        <v>243</v>
      </c>
      <c r="D124" s="4" t="n">
        <v>227</v>
      </c>
      <c r="E124" s="6" t="n">
        <v>15.898837070826</v>
      </c>
      <c r="F124" s="6" t="n">
        <f aca="false">D124+E124</f>
        <v>242.898837070826</v>
      </c>
      <c r="G124" s="6" t="n">
        <f aca="false">F124-C124</f>
        <v>-0.101162929173995</v>
      </c>
      <c r="H124" s="4" t="str">
        <f aca="false">IF(G124&gt;2,"LATE",IF(G124&lt;-13,"EARLY","IN"))</f>
        <v>IN</v>
      </c>
      <c r="I124" s="4" t="n">
        <f aca="false">C124-D124</f>
        <v>16</v>
      </c>
    </row>
    <row r="125" customFormat="false" ht="15" hidden="false" customHeight="false" outlineLevel="0" collapsed="false">
      <c r="A125" s="4" t="n">
        <v>3</v>
      </c>
      <c r="B125" s="4" t="n">
        <v>105</v>
      </c>
      <c r="C125" s="4" t="n">
        <v>149</v>
      </c>
      <c r="D125" s="4" t="n">
        <v>136</v>
      </c>
      <c r="E125" s="6" t="n">
        <v>14.9733861137433</v>
      </c>
      <c r="F125" s="6" t="n">
        <f aca="false">D125+E125</f>
        <v>150.973386113743</v>
      </c>
      <c r="G125" s="6" t="n">
        <f aca="false">F125-C125</f>
        <v>1.97338611374332</v>
      </c>
      <c r="H125" s="4" t="str">
        <f aca="false">IF(G125&gt;2,"LATE",IF(G125&lt;-13,"EARLY","IN"))</f>
        <v>IN</v>
      </c>
      <c r="I125" s="4" t="n">
        <f aca="false">C125-D125</f>
        <v>13</v>
      </c>
    </row>
    <row r="126" customFormat="false" ht="15" hidden="false" customHeight="false" outlineLevel="0" collapsed="false">
      <c r="A126" s="4" t="n">
        <v>3</v>
      </c>
      <c r="B126" s="4" t="n">
        <v>108</v>
      </c>
      <c r="C126" s="4" t="n">
        <v>230</v>
      </c>
      <c r="D126" s="4" t="n">
        <v>210</v>
      </c>
      <c r="E126" s="6" t="n">
        <v>15.1100857368075</v>
      </c>
      <c r="F126" s="6" t="n">
        <f aca="false">D126+E126</f>
        <v>225.110085736808</v>
      </c>
      <c r="G126" s="6" t="n">
        <f aca="false">F126-C126</f>
        <v>-4.88991426319251</v>
      </c>
      <c r="H126" s="4" t="str">
        <f aca="false">IF(G126&gt;2,"LATE",IF(G126&lt;-13,"EARLY","IN"))</f>
        <v>IN</v>
      </c>
      <c r="I126" s="4" t="n">
        <f aca="false">C126-D126</f>
        <v>20</v>
      </c>
    </row>
    <row r="127" customFormat="false" ht="15" hidden="false" customHeight="false" outlineLevel="0" collapsed="false">
      <c r="A127" s="4" t="n">
        <v>3</v>
      </c>
      <c r="B127" s="4" t="n">
        <v>109</v>
      </c>
      <c r="C127" s="4" t="n">
        <v>160</v>
      </c>
      <c r="D127" s="4" t="n">
        <v>147</v>
      </c>
      <c r="E127" s="6" t="n">
        <v>12.3200927090246</v>
      </c>
      <c r="F127" s="6" t="n">
        <f aca="false">D127+E127</f>
        <v>159.320092709025</v>
      </c>
      <c r="G127" s="6" t="n">
        <f aca="false">F127-C127</f>
        <v>-0.67990729097545</v>
      </c>
      <c r="H127" s="4" t="str">
        <f aca="false">IF(G127&gt;2,"LATE",IF(G127&lt;-13,"EARLY","IN"))</f>
        <v>IN</v>
      </c>
      <c r="I127" s="4" t="n">
        <f aca="false">C127-D127</f>
        <v>13</v>
      </c>
    </row>
    <row r="128" customFormat="false" ht="15" hidden="false" customHeight="false" outlineLevel="0" collapsed="false">
      <c r="A128" s="4" t="n">
        <v>3</v>
      </c>
      <c r="B128" s="4" t="n">
        <v>110</v>
      </c>
      <c r="C128" s="4" t="n">
        <v>277</v>
      </c>
      <c r="D128" s="4" t="n">
        <v>249</v>
      </c>
      <c r="E128" s="6" t="n">
        <v>11.9373113608752</v>
      </c>
      <c r="F128" s="6" t="n">
        <f aca="false">D128+E128</f>
        <v>260.937311360875</v>
      </c>
      <c r="G128" s="6" t="n">
        <f aca="false">F128-C128</f>
        <v>-16.0626886391248</v>
      </c>
      <c r="H128" s="4" t="str">
        <f aca="false">IF(G128&gt;2,"LATE",IF(G128&lt;-13,"EARLY","IN"))</f>
        <v>EARLY</v>
      </c>
      <c r="I128" s="4" t="n">
        <f aca="false">C128-D128</f>
        <v>28</v>
      </c>
    </row>
    <row r="129" customFormat="false" ht="15" hidden="false" customHeight="false" outlineLevel="0" collapsed="false">
      <c r="A129" s="4" t="n">
        <v>3</v>
      </c>
      <c r="B129" s="4" t="n">
        <v>116</v>
      </c>
      <c r="C129" s="4" t="n">
        <v>232</v>
      </c>
      <c r="D129" s="4" t="n">
        <v>209</v>
      </c>
      <c r="E129" s="6" t="n">
        <v>13.5243802022749</v>
      </c>
      <c r="F129" s="6" t="n">
        <f aca="false">D129+E129</f>
        <v>222.524380202275</v>
      </c>
      <c r="G129" s="6" t="n">
        <f aca="false">F129-C129</f>
        <v>-9.4756197977251</v>
      </c>
      <c r="H129" s="4" t="str">
        <f aca="false">IF(G129&gt;2,"LATE",IF(G129&lt;-13,"EARLY","IN"))</f>
        <v>IN</v>
      </c>
      <c r="I129" s="4" t="n">
        <f aca="false">C129-D129</f>
        <v>23</v>
      </c>
    </row>
    <row r="130" customFormat="false" ht="15" hidden="false" customHeight="false" outlineLevel="0" collapsed="false">
      <c r="A130" s="4" t="n">
        <v>3</v>
      </c>
      <c r="B130" s="4" t="n">
        <v>117</v>
      </c>
      <c r="C130" s="4" t="n">
        <v>212</v>
      </c>
      <c r="D130" s="4" t="n">
        <v>196</v>
      </c>
      <c r="E130" s="6" t="n">
        <v>13.4777429910299</v>
      </c>
      <c r="F130" s="6" t="n">
        <f aca="false">D130+E130</f>
        <v>209.47774299103</v>
      </c>
      <c r="G130" s="6" t="n">
        <f aca="false">F130-C130</f>
        <v>-2.52225700897014</v>
      </c>
      <c r="H130" s="4" t="str">
        <f aca="false">IF(G130&gt;2,"LATE",IF(G130&lt;-13,"EARLY","IN"))</f>
        <v>IN</v>
      </c>
      <c r="I130" s="4" t="n">
        <f aca="false">C130-D130</f>
        <v>16</v>
      </c>
    </row>
    <row r="131" customFormat="false" ht="15" hidden="false" customHeight="false" outlineLevel="0" collapsed="false">
      <c r="A131" s="4" t="n">
        <v>3</v>
      </c>
      <c r="B131" s="4" t="n">
        <v>120</v>
      </c>
      <c r="C131" s="4" t="n">
        <v>170</v>
      </c>
      <c r="D131" s="4" t="n">
        <v>153</v>
      </c>
      <c r="E131" s="6" t="n">
        <v>13.3294017338133</v>
      </c>
      <c r="F131" s="6" t="n">
        <f aca="false">D131+E131</f>
        <v>166.329401733813</v>
      </c>
      <c r="G131" s="6" t="n">
        <f aca="false">F131-C131</f>
        <v>-3.67059826618674</v>
      </c>
      <c r="H131" s="4" t="str">
        <f aca="false">IF(G131&gt;2,"LATE",IF(G131&lt;-13,"EARLY","IN"))</f>
        <v>IN</v>
      </c>
      <c r="I131" s="4" t="n">
        <f aca="false">C131-D131</f>
        <v>17</v>
      </c>
    </row>
    <row r="132" customFormat="false" ht="15" hidden="false" customHeight="false" outlineLevel="0" collapsed="false">
      <c r="A132" s="4" t="n">
        <v>3</v>
      </c>
      <c r="B132" s="4" t="n">
        <v>124</v>
      </c>
      <c r="C132" s="4" t="n">
        <v>197</v>
      </c>
      <c r="D132" s="4" t="n">
        <v>183</v>
      </c>
      <c r="E132" s="6" t="n">
        <v>12.7628672539865</v>
      </c>
      <c r="F132" s="6" t="n">
        <f aca="false">D132+E132</f>
        <v>195.762867253987</v>
      </c>
      <c r="G132" s="6" t="n">
        <f aca="false">F132-C132</f>
        <v>-1.23713274601346</v>
      </c>
      <c r="H132" s="4" t="str">
        <f aca="false">IF(G132&gt;2,"LATE",IF(G132&lt;-13,"EARLY","IN"))</f>
        <v>IN</v>
      </c>
      <c r="I132" s="4" t="n">
        <f aca="false">C132-D132</f>
        <v>14</v>
      </c>
    </row>
    <row r="133" customFormat="false" ht="15" hidden="false" customHeight="false" outlineLevel="0" collapsed="false">
      <c r="A133" s="4" t="n">
        <v>3</v>
      </c>
      <c r="B133" s="4" t="n">
        <v>131</v>
      </c>
      <c r="C133" s="4" t="n">
        <v>263</v>
      </c>
      <c r="D133" s="4" t="n">
        <v>234</v>
      </c>
      <c r="E133" s="6" t="n">
        <v>11.7639365808968</v>
      </c>
      <c r="F133" s="6" t="n">
        <f aca="false">D133+E133</f>
        <v>245.763936580897</v>
      </c>
      <c r="G133" s="6" t="n">
        <f aca="false">F133-C133</f>
        <v>-17.2360634191032</v>
      </c>
      <c r="H133" s="4" t="str">
        <f aca="false">IF(G133&gt;2,"LATE",IF(G133&lt;-13,"EARLY","IN"))</f>
        <v>EARLY</v>
      </c>
      <c r="I133" s="4" t="n">
        <f aca="false">C133-D133</f>
        <v>29</v>
      </c>
    </row>
    <row r="134" customFormat="false" ht="15" hidden="false" customHeight="false" outlineLevel="0" collapsed="false">
      <c r="A134" s="4" t="n">
        <v>3</v>
      </c>
      <c r="B134" s="4" t="n">
        <v>133</v>
      </c>
      <c r="C134" s="4" t="n">
        <v>151</v>
      </c>
      <c r="D134" s="4" t="n">
        <v>131</v>
      </c>
      <c r="E134" s="6" t="n">
        <v>16.9589196268225</v>
      </c>
      <c r="F134" s="6" t="n">
        <f aca="false">D134+E134</f>
        <v>147.958919626822</v>
      </c>
      <c r="G134" s="6" t="n">
        <f aca="false">F134-C134</f>
        <v>-3.04108037317752</v>
      </c>
      <c r="H134" s="4" t="str">
        <f aca="false">IF(G134&gt;2,"LATE",IF(G134&lt;-13,"EARLY","IN"))</f>
        <v>IN</v>
      </c>
      <c r="I134" s="4" t="n">
        <f aca="false">C134-D134</f>
        <v>20</v>
      </c>
    </row>
    <row r="135" customFormat="false" ht="15" hidden="false" customHeight="false" outlineLevel="0" collapsed="false">
      <c r="A135" s="4" t="n">
        <v>3</v>
      </c>
      <c r="B135" s="4" t="n">
        <v>134</v>
      </c>
      <c r="C135" s="4" t="n">
        <v>173</v>
      </c>
      <c r="D135" s="4" t="n">
        <v>153</v>
      </c>
      <c r="E135" s="6" t="n">
        <v>15.3031250435961</v>
      </c>
      <c r="F135" s="6" t="n">
        <f aca="false">D135+E135</f>
        <v>168.303125043596</v>
      </c>
      <c r="G135" s="6" t="n">
        <f aca="false">F135-C135</f>
        <v>-4.69687495640386</v>
      </c>
      <c r="H135" s="4" t="str">
        <f aca="false">IF(G135&gt;2,"LATE",IF(G135&lt;-13,"EARLY","IN"))</f>
        <v>IN</v>
      </c>
      <c r="I135" s="4" t="n">
        <f aca="false">C135-D135</f>
        <v>20</v>
      </c>
    </row>
    <row r="136" customFormat="false" ht="15" hidden="false" customHeight="false" outlineLevel="0" collapsed="false">
      <c r="A136" s="4" t="n">
        <v>3</v>
      </c>
      <c r="B136" s="4" t="n">
        <v>138</v>
      </c>
      <c r="C136" s="4" t="n">
        <v>181</v>
      </c>
      <c r="D136" s="4" t="n">
        <v>169</v>
      </c>
      <c r="E136" s="6" t="n">
        <v>10.0000265353279</v>
      </c>
      <c r="F136" s="6" t="n">
        <f aca="false">D136+E136</f>
        <v>179.000026535328</v>
      </c>
      <c r="G136" s="6" t="n">
        <f aca="false">F136-C136</f>
        <v>-1.99997346467214</v>
      </c>
      <c r="H136" s="4" t="str">
        <f aca="false">IF(G136&gt;2,"LATE",IF(G136&lt;-13,"EARLY","IN"))</f>
        <v>IN</v>
      </c>
      <c r="I136" s="4" t="n">
        <f aca="false">C136-D136</f>
        <v>12</v>
      </c>
    </row>
    <row r="137" customFormat="false" ht="15" hidden="false" customHeight="false" outlineLevel="0" collapsed="false">
      <c r="A137" s="4" t="n">
        <v>3</v>
      </c>
      <c r="B137" s="4" t="n">
        <v>142</v>
      </c>
      <c r="C137" s="4" t="n">
        <v>215</v>
      </c>
      <c r="D137" s="4" t="n">
        <v>198</v>
      </c>
      <c r="E137" s="6" t="n">
        <v>13.7001582686115</v>
      </c>
      <c r="F137" s="6" t="n">
        <f aca="false">D137+E137</f>
        <v>211.700158268612</v>
      </c>
      <c r="G137" s="6" t="n">
        <f aca="false">F137-C137</f>
        <v>-3.29984173138848</v>
      </c>
      <c r="H137" s="4" t="str">
        <f aca="false">IF(G137&gt;2,"LATE",IF(G137&lt;-13,"EARLY","IN"))</f>
        <v>IN</v>
      </c>
      <c r="I137" s="4" t="n">
        <f aca="false">C137-D137</f>
        <v>17</v>
      </c>
    </row>
    <row r="138" customFormat="false" ht="15" hidden="false" customHeight="false" outlineLevel="0" collapsed="false">
      <c r="A138" s="4" t="n">
        <v>3</v>
      </c>
      <c r="B138" s="4" t="n">
        <v>148</v>
      </c>
      <c r="C138" s="4" t="n">
        <v>264</v>
      </c>
      <c r="D138" s="4" t="n">
        <v>236</v>
      </c>
      <c r="E138" s="6" t="n">
        <v>19.6929650689292</v>
      </c>
      <c r="F138" s="6" t="n">
        <f aca="false">D138+E138</f>
        <v>255.692965068929</v>
      </c>
      <c r="G138" s="6" t="n">
        <f aca="false">F138-C138</f>
        <v>-8.30703493107083</v>
      </c>
      <c r="H138" s="4" t="str">
        <f aca="false">IF(G138&gt;2,"LATE",IF(G138&lt;-13,"EARLY","IN"))</f>
        <v>IN</v>
      </c>
      <c r="I138" s="4" t="n">
        <f aca="false">C138-D138</f>
        <v>28</v>
      </c>
    </row>
    <row r="139" customFormat="false" ht="15" hidden="false" customHeight="false" outlineLevel="0" collapsed="false">
      <c r="A139" s="4" t="n">
        <v>3</v>
      </c>
      <c r="B139" s="4" t="n">
        <v>151</v>
      </c>
      <c r="C139" s="4" t="n">
        <v>317</v>
      </c>
      <c r="D139" s="4" t="n">
        <v>295</v>
      </c>
      <c r="E139" s="6" t="n">
        <v>12.0590994224944</v>
      </c>
      <c r="F139" s="6" t="n">
        <f aca="false">D139+E139</f>
        <v>307.059099422494</v>
      </c>
      <c r="G139" s="6" t="n">
        <f aca="false">F139-C139</f>
        <v>-9.9409005775056</v>
      </c>
      <c r="H139" s="4" t="str">
        <f aca="false">IF(G139&gt;2,"LATE",IF(G139&lt;-13,"EARLY","IN"))</f>
        <v>IN</v>
      </c>
      <c r="I139" s="4" t="n">
        <f aca="false">C139-D139</f>
        <v>22</v>
      </c>
    </row>
    <row r="140" customFormat="false" ht="15" hidden="false" customHeight="false" outlineLevel="0" collapsed="false">
      <c r="A140" s="4" t="n">
        <v>3</v>
      </c>
      <c r="B140" s="4" t="n">
        <v>152</v>
      </c>
      <c r="C140" s="4" t="n">
        <v>213</v>
      </c>
      <c r="D140" s="4" t="n">
        <v>191</v>
      </c>
      <c r="E140" s="6" t="n">
        <v>16.2685084958948</v>
      </c>
      <c r="F140" s="6" t="n">
        <f aca="false">D140+E140</f>
        <v>207.268508495895</v>
      </c>
      <c r="G140" s="6" t="n">
        <f aca="false">F140-C140</f>
        <v>-5.73149150410518</v>
      </c>
      <c r="H140" s="4" t="str">
        <f aca="false">IF(G140&gt;2,"LATE",IF(G140&lt;-13,"EARLY","IN"))</f>
        <v>IN</v>
      </c>
      <c r="I140" s="4" t="n">
        <f aca="false">C140-D140</f>
        <v>22</v>
      </c>
    </row>
    <row r="141" customFormat="false" ht="15" hidden="false" customHeight="false" outlineLevel="0" collapsed="false">
      <c r="A141" s="4" t="n">
        <v>3</v>
      </c>
      <c r="B141" s="4" t="n">
        <v>170</v>
      </c>
      <c r="C141" s="4" t="n">
        <v>302</v>
      </c>
      <c r="D141" s="4" t="n">
        <v>280</v>
      </c>
      <c r="E141" s="6" t="n">
        <v>16.7020718598319</v>
      </c>
      <c r="F141" s="6" t="n">
        <f aca="false">D141+E141</f>
        <v>296.702071859832</v>
      </c>
      <c r="G141" s="6" t="n">
        <f aca="false">F141-C141</f>
        <v>-5.29792814016815</v>
      </c>
      <c r="H141" s="4" t="str">
        <f aca="false">IF(G141&gt;2,"LATE",IF(G141&lt;-13,"EARLY","IN"))</f>
        <v>IN</v>
      </c>
      <c r="I141" s="4" t="n">
        <f aca="false">C141-D141</f>
        <v>22</v>
      </c>
    </row>
    <row r="142" customFormat="false" ht="15" hidden="false" customHeight="false" outlineLevel="0" collapsed="false">
      <c r="A142" s="4" t="n">
        <v>3</v>
      </c>
      <c r="B142" s="4" t="n">
        <v>171</v>
      </c>
      <c r="C142" s="4" t="n">
        <v>258</v>
      </c>
      <c r="D142" s="4" t="n">
        <v>230</v>
      </c>
      <c r="E142" s="6" t="n">
        <v>17.0495255880969</v>
      </c>
      <c r="F142" s="6" t="n">
        <f aca="false">D142+E142</f>
        <v>247.049525588097</v>
      </c>
      <c r="G142" s="6" t="n">
        <f aca="false">F142-C142</f>
        <v>-10.9504744119031</v>
      </c>
      <c r="H142" s="4" t="str">
        <f aca="false">IF(G142&gt;2,"LATE",IF(G142&lt;-13,"EARLY","IN"))</f>
        <v>IN</v>
      </c>
      <c r="I142" s="4" t="n">
        <f aca="false">C142-D142</f>
        <v>28</v>
      </c>
    </row>
    <row r="143" customFormat="false" ht="15" hidden="false" customHeight="false" outlineLevel="0" collapsed="false">
      <c r="A143" s="4" t="n">
        <v>3</v>
      </c>
      <c r="B143" s="4" t="n">
        <v>175</v>
      </c>
      <c r="C143" s="4" t="n">
        <v>278</v>
      </c>
      <c r="D143" s="4" t="n">
        <v>251</v>
      </c>
      <c r="E143" s="6" t="n">
        <v>16.901563842274</v>
      </c>
      <c r="F143" s="6" t="n">
        <f aca="false">D143+E143</f>
        <v>267.901563842274</v>
      </c>
      <c r="G143" s="6" t="n">
        <f aca="false">F143-C143</f>
        <v>-10.098436157726</v>
      </c>
      <c r="H143" s="4" t="str">
        <f aca="false">IF(G143&gt;2,"LATE",IF(G143&lt;-13,"EARLY","IN"))</f>
        <v>IN</v>
      </c>
      <c r="I143" s="4" t="n">
        <f aca="false">C143-D143</f>
        <v>27</v>
      </c>
    </row>
    <row r="144" customFormat="false" ht="15" hidden="false" customHeight="false" outlineLevel="0" collapsed="false">
      <c r="A144" s="4" t="n">
        <v>3</v>
      </c>
      <c r="B144" s="4" t="n">
        <v>181</v>
      </c>
      <c r="C144" s="4" t="n">
        <v>161</v>
      </c>
      <c r="D144" s="4" t="n">
        <v>143</v>
      </c>
      <c r="E144" s="6" t="n">
        <v>15.6698121113024</v>
      </c>
      <c r="F144" s="6" t="n">
        <f aca="false">D144+E144</f>
        <v>158.669812111302</v>
      </c>
      <c r="G144" s="6" t="n">
        <f aca="false">F144-C144</f>
        <v>-2.33018788869762</v>
      </c>
      <c r="H144" s="4" t="str">
        <f aca="false">IF(G144&gt;2,"LATE",IF(G144&lt;-13,"EARLY","IN"))</f>
        <v>IN</v>
      </c>
      <c r="I144" s="4" t="n">
        <f aca="false">C144-D144</f>
        <v>18</v>
      </c>
    </row>
    <row r="145" customFormat="false" ht="15" hidden="false" customHeight="false" outlineLevel="0" collapsed="false">
      <c r="A145" s="4" t="n">
        <v>3</v>
      </c>
      <c r="B145" s="4" t="n">
        <v>189</v>
      </c>
      <c r="C145" s="4" t="n">
        <v>242</v>
      </c>
      <c r="D145" s="4" t="n">
        <v>230</v>
      </c>
      <c r="E145" s="6" t="n">
        <v>10.8388387006962</v>
      </c>
      <c r="F145" s="6" t="n">
        <f aca="false">D145+E145</f>
        <v>240.838838700696</v>
      </c>
      <c r="G145" s="6" t="n">
        <f aca="false">F145-C145</f>
        <v>-1.16116129930384</v>
      </c>
      <c r="H145" s="4" t="str">
        <f aca="false">IF(G145&gt;2,"LATE",IF(G145&lt;-13,"EARLY","IN"))</f>
        <v>IN</v>
      </c>
      <c r="I145" s="4" t="n">
        <f aca="false">C145-D145</f>
        <v>12</v>
      </c>
    </row>
    <row r="146" customFormat="false" ht="15" hidden="false" customHeight="false" outlineLevel="0" collapsed="false">
      <c r="A146" s="4" t="n">
        <v>3</v>
      </c>
      <c r="B146" s="4" t="n">
        <v>190</v>
      </c>
      <c r="C146" s="4" t="n">
        <v>152</v>
      </c>
      <c r="D146" s="4" t="n">
        <v>133</v>
      </c>
      <c r="E146" s="6" t="n">
        <v>14.4057615755157</v>
      </c>
      <c r="F146" s="6" t="n">
        <f aca="false">D146+E146</f>
        <v>147.405761575516</v>
      </c>
      <c r="G146" s="6" t="n">
        <f aca="false">F146-C146</f>
        <v>-4.59423842448427</v>
      </c>
      <c r="H146" s="4" t="str">
        <f aca="false">IF(G146&gt;2,"LATE",IF(G146&lt;-13,"EARLY","IN"))</f>
        <v>IN</v>
      </c>
      <c r="I146" s="4" t="n">
        <f aca="false">C146-D146</f>
        <v>19</v>
      </c>
    </row>
    <row r="147" customFormat="false" ht="15" hidden="false" customHeight="false" outlineLevel="0" collapsed="false">
      <c r="A147" s="4" t="n">
        <v>3</v>
      </c>
      <c r="B147" s="4" t="n">
        <v>195</v>
      </c>
      <c r="C147" s="4" t="n">
        <v>284</v>
      </c>
      <c r="D147" s="4" t="n">
        <v>260</v>
      </c>
      <c r="E147" s="6" t="n">
        <v>17.5296313440103</v>
      </c>
      <c r="F147" s="6" t="n">
        <f aca="false">D147+E147</f>
        <v>277.52963134401</v>
      </c>
      <c r="G147" s="6" t="n">
        <f aca="false">F147-C147</f>
        <v>-6.47036865598977</v>
      </c>
      <c r="H147" s="4" t="str">
        <f aca="false">IF(G147&gt;2,"LATE",IF(G147&lt;-13,"EARLY","IN"))</f>
        <v>IN</v>
      </c>
      <c r="I147" s="4" t="n">
        <f aca="false">C147-D147</f>
        <v>24</v>
      </c>
    </row>
    <row r="148" customFormat="false" ht="15" hidden="false" customHeight="false" outlineLevel="0" collapsed="false">
      <c r="A148" s="4" t="n">
        <v>3</v>
      </c>
      <c r="B148" s="4" t="n">
        <v>204</v>
      </c>
      <c r="C148" s="4" t="n">
        <v>174</v>
      </c>
      <c r="D148" s="4" t="n">
        <v>152</v>
      </c>
      <c r="E148" s="6" t="n">
        <v>16.1927200418739</v>
      </c>
      <c r="F148" s="6" t="n">
        <f aca="false">D148+E148</f>
        <v>168.192720041874</v>
      </c>
      <c r="G148" s="6" t="n">
        <f aca="false">F148-C148</f>
        <v>-5.80727995812612</v>
      </c>
      <c r="H148" s="4" t="str">
        <f aca="false">IF(G148&gt;2,"LATE",IF(G148&lt;-13,"EARLY","IN"))</f>
        <v>IN</v>
      </c>
      <c r="I148" s="4" t="n">
        <f aca="false">C148-D148</f>
        <v>22</v>
      </c>
    </row>
    <row r="149" customFormat="false" ht="15" hidden="false" customHeight="false" outlineLevel="0" collapsed="false">
      <c r="A149" s="4" t="n">
        <v>3</v>
      </c>
      <c r="B149" s="4" t="n">
        <v>208</v>
      </c>
      <c r="C149" s="4" t="n">
        <v>199</v>
      </c>
      <c r="D149" s="4" t="n">
        <v>180</v>
      </c>
      <c r="E149" s="6" t="n">
        <v>14.8070855768313</v>
      </c>
      <c r="F149" s="6" t="n">
        <f aca="false">D149+E149</f>
        <v>194.807085576831</v>
      </c>
      <c r="G149" s="6" t="n">
        <f aca="false">F149-C149</f>
        <v>-4.19291442316873</v>
      </c>
      <c r="H149" s="4" t="str">
        <f aca="false">IF(G149&gt;2,"LATE",IF(G149&lt;-13,"EARLY","IN"))</f>
        <v>IN</v>
      </c>
      <c r="I149" s="4" t="n">
        <f aca="false">C149-D149</f>
        <v>19</v>
      </c>
    </row>
    <row r="150" customFormat="false" ht="15" hidden="false" customHeight="false" outlineLevel="0" collapsed="false">
      <c r="A150" s="4" t="n">
        <v>3</v>
      </c>
      <c r="B150" s="4" t="n">
        <v>215</v>
      </c>
      <c r="C150" s="4" t="n">
        <v>156</v>
      </c>
      <c r="D150" s="4" t="n">
        <v>142</v>
      </c>
      <c r="E150" s="6" t="n">
        <v>10.1943801875066</v>
      </c>
      <c r="F150" s="6" t="n">
        <f aca="false">D150+E150</f>
        <v>152.194380187507</v>
      </c>
      <c r="G150" s="6" t="n">
        <f aca="false">F150-C150</f>
        <v>-3.80561981249343</v>
      </c>
      <c r="H150" s="4" t="str">
        <f aca="false">IF(G150&gt;2,"LATE",IF(G150&lt;-13,"EARLY","IN"))</f>
        <v>IN</v>
      </c>
      <c r="I150" s="4" t="n">
        <f aca="false">C150-D150</f>
        <v>14</v>
      </c>
    </row>
    <row r="151" customFormat="false" ht="15" hidden="false" customHeight="false" outlineLevel="0" collapsed="false">
      <c r="A151" s="4" t="n">
        <v>3</v>
      </c>
      <c r="B151" s="4" t="n">
        <v>216</v>
      </c>
      <c r="C151" s="4" t="n">
        <v>190</v>
      </c>
      <c r="D151" s="4" t="n">
        <v>180</v>
      </c>
      <c r="E151" s="6" t="n">
        <v>11.0991331585307</v>
      </c>
      <c r="F151" s="6" t="n">
        <f aca="false">D151+E151</f>
        <v>191.099133158531</v>
      </c>
      <c r="G151" s="6" t="n">
        <f aca="false">F151-C151</f>
        <v>1.09913315853072</v>
      </c>
      <c r="H151" s="4" t="str">
        <f aca="false">IF(G151&gt;2,"LATE",IF(G151&lt;-13,"EARLY","IN"))</f>
        <v>IN</v>
      </c>
      <c r="I151" s="4" t="n">
        <f aca="false">C151-D151</f>
        <v>10</v>
      </c>
    </row>
    <row r="152" customFormat="false" ht="15" hidden="false" customHeight="false" outlineLevel="0" collapsed="false">
      <c r="A152" s="4" t="n">
        <v>4</v>
      </c>
      <c r="B152" s="4" t="n">
        <v>1</v>
      </c>
      <c r="C152" s="4" t="n">
        <v>223</v>
      </c>
      <c r="D152" s="4" t="n">
        <v>202</v>
      </c>
      <c r="E152" s="6" t="n">
        <v>13.4431667756003</v>
      </c>
      <c r="F152" s="6" t="n">
        <f aca="false">D152+E152</f>
        <v>215.4431667756</v>
      </c>
      <c r="G152" s="6" t="n">
        <f aca="false">F152-C152</f>
        <v>-7.5568332243997</v>
      </c>
      <c r="H152" s="4" t="str">
        <f aca="false">IF(G152&gt;2,"LATE",IF(G152&lt;-13,"EARLY","IN"))</f>
        <v>IN</v>
      </c>
      <c r="I152" s="4" t="n">
        <f aca="false">C152-D152</f>
        <v>21</v>
      </c>
    </row>
    <row r="153" customFormat="false" ht="15" hidden="false" customHeight="false" outlineLevel="0" collapsed="false">
      <c r="A153" s="4" t="n">
        <v>4</v>
      </c>
      <c r="B153" s="4" t="n">
        <v>8</v>
      </c>
      <c r="C153" s="4" t="n">
        <v>276</v>
      </c>
      <c r="D153" s="4" t="n">
        <v>261</v>
      </c>
      <c r="E153" s="6" t="n">
        <v>15.9224391718671</v>
      </c>
      <c r="F153" s="6" t="n">
        <f aca="false">D153+E153</f>
        <v>276.922439171867</v>
      </c>
      <c r="G153" s="6" t="n">
        <f aca="false">F153-C153</f>
        <v>0.922439171867097</v>
      </c>
      <c r="H153" s="4" t="str">
        <f aca="false">IF(G153&gt;2,"LATE",IF(G153&lt;-13,"EARLY","IN"))</f>
        <v>IN</v>
      </c>
      <c r="I153" s="4" t="n">
        <f aca="false">C153-D153</f>
        <v>15</v>
      </c>
    </row>
    <row r="154" customFormat="false" ht="15" hidden="false" customHeight="false" outlineLevel="0" collapsed="false">
      <c r="A154" s="4" t="n">
        <v>4</v>
      </c>
      <c r="B154" s="4" t="n">
        <v>12</v>
      </c>
      <c r="C154" s="4" t="n">
        <v>242</v>
      </c>
      <c r="D154" s="4" t="n">
        <v>224</v>
      </c>
      <c r="E154" s="6" t="n">
        <v>14.2945413482501</v>
      </c>
      <c r="F154" s="6" t="n">
        <f aca="false">D154+E154</f>
        <v>238.29454134825</v>
      </c>
      <c r="G154" s="6" t="n">
        <f aca="false">F154-C154</f>
        <v>-3.70545865174987</v>
      </c>
      <c r="H154" s="4" t="str">
        <f aca="false">IF(G154&gt;2,"LATE",IF(G154&lt;-13,"EARLY","IN"))</f>
        <v>IN</v>
      </c>
      <c r="I154" s="4" t="n">
        <f aca="false">C154-D154</f>
        <v>18</v>
      </c>
    </row>
    <row r="155" customFormat="false" ht="15" hidden="false" customHeight="false" outlineLevel="0" collapsed="false">
      <c r="A155" s="4" t="n">
        <v>4</v>
      </c>
      <c r="B155" s="4" t="n">
        <v>15</v>
      </c>
      <c r="C155" s="4" t="n">
        <v>178</v>
      </c>
      <c r="D155" s="4" t="n">
        <v>162</v>
      </c>
      <c r="E155" s="6" t="n">
        <v>10.7690351396208</v>
      </c>
      <c r="F155" s="6" t="n">
        <f aca="false">D155+E155</f>
        <v>172.769035139621</v>
      </c>
      <c r="G155" s="6" t="n">
        <f aca="false">F155-C155</f>
        <v>-5.2309648603792</v>
      </c>
      <c r="H155" s="4" t="str">
        <f aca="false">IF(G155&gt;2,"LATE",IF(G155&lt;-13,"EARLY","IN"))</f>
        <v>IN</v>
      </c>
      <c r="I155" s="4" t="n">
        <f aca="false">C155-D155</f>
        <v>16</v>
      </c>
    </row>
    <row r="156" customFormat="false" ht="15" hidden="false" customHeight="false" outlineLevel="0" collapsed="false">
      <c r="A156" s="4" t="n">
        <v>4</v>
      </c>
      <c r="B156" s="4" t="n">
        <v>19</v>
      </c>
      <c r="C156" s="4" t="n">
        <v>167</v>
      </c>
      <c r="D156" s="4" t="n">
        <v>148</v>
      </c>
      <c r="E156" s="6" t="n">
        <v>10.3245967592257</v>
      </c>
      <c r="F156" s="6" t="n">
        <f aca="false">D156+E156</f>
        <v>158.324596759226</v>
      </c>
      <c r="G156" s="6" t="n">
        <f aca="false">F156-C156</f>
        <v>-8.67540324077427</v>
      </c>
      <c r="H156" s="4" t="str">
        <f aca="false">IF(G156&gt;2,"LATE",IF(G156&lt;-13,"EARLY","IN"))</f>
        <v>IN</v>
      </c>
      <c r="I156" s="4" t="n">
        <f aca="false">C156-D156</f>
        <v>19</v>
      </c>
    </row>
    <row r="157" customFormat="false" ht="15" hidden="false" customHeight="false" outlineLevel="0" collapsed="false">
      <c r="A157" s="4" t="n">
        <v>4</v>
      </c>
      <c r="B157" s="4" t="n">
        <v>21</v>
      </c>
      <c r="C157" s="4" t="n">
        <v>205</v>
      </c>
      <c r="D157" s="4" t="n">
        <v>182</v>
      </c>
      <c r="E157" s="6" t="n">
        <v>14.9492792759225</v>
      </c>
      <c r="F157" s="6" t="n">
        <f aca="false">D157+E157</f>
        <v>196.949279275923</v>
      </c>
      <c r="G157" s="6" t="n">
        <f aca="false">F157-C157</f>
        <v>-8.05072072407748</v>
      </c>
      <c r="H157" s="4" t="str">
        <f aca="false">IF(G157&gt;2,"LATE",IF(G157&lt;-13,"EARLY","IN"))</f>
        <v>IN</v>
      </c>
      <c r="I157" s="4" t="n">
        <f aca="false">C157-D157</f>
        <v>23</v>
      </c>
    </row>
    <row r="158" customFormat="false" ht="15" hidden="false" customHeight="false" outlineLevel="0" collapsed="false">
      <c r="A158" s="4" t="n">
        <v>4</v>
      </c>
      <c r="B158" s="4" t="n">
        <v>23</v>
      </c>
      <c r="C158" s="4" t="n">
        <v>213</v>
      </c>
      <c r="D158" s="4" t="n">
        <v>191</v>
      </c>
      <c r="E158" s="6" t="n">
        <v>17.4357660655453</v>
      </c>
      <c r="F158" s="6" t="n">
        <f aca="false">D158+E158</f>
        <v>208.435766065545</v>
      </c>
      <c r="G158" s="6" t="n">
        <f aca="false">F158-C158</f>
        <v>-4.56423393445473</v>
      </c>
      <c r="H158" s="4" t="str">
        <f aca="false">IF(G158&gt;2,"LATE",IF(G158&lt;-13,"EARLY","IN"))</f>
        <v>IN</v>
      </c>
      <c r="I158" s="4" t="n">
        <f aca="false">C158-D158</f>
        <v>22</v>
      </c>
    </row>
    <row r="159" customFormat="false" ht="15" hidden="false" customHeight="false" outlineLevel="0" collapsed="false">
      <c r="A159" s="4" t="n">
        <v>4</v>
      </c>
      <c r="B159" s="4" t="n">
        <v>25</v>
      </c>
      <c r="C159" s="4" t="n">
        <v>281</v>
      </c>
      <c r="D159" s="4" t="n">
        <v>260</v>
      </c>
      <c r="E159" s="6" t="n">
        <v>14.2585822163895</v>
      </c>
      <c r="F159" s="6" t="n">
        <f aca="false">D159+E159</f>
        <v>274.25858221639</v>
      </c>
      <c r="G159" s="6" t="n">
        <f aca="false">F159-C159</f>
        <v>-6.74141778361047</v>
      </c>
      <c r="H159" s="4" t="str">
        <f aca="false">IF(G159&gt;2,"LATE",IF(G159&lt;-13,"EARLY","IN"))</f>
        <v>IN</v>
      </c>
      <c r="I159" s="4" t="n">
        <f aca="false">C159-D159</f>
        <v>21</v>
      </c>
    </row>
    <row r="160" customFormat="false" ht="15" hidden="false" customHeight="false" outlineLevel="0" collapsed="false">
      <c r="A160" s="4" t="n">
        <v>4</v>
      </c>
      <c r="B160" s="4" t="n">
        <v>34</v>
      </c>
      <c r="C160" s="4" t="n">
        <v>286</v>
      </c>
      <c r="D160" s="4" t="n">
        <v>267</v>
      </c>
      <c r="E160" s="6" t="n">
        <v>13.7746000217247</v>
      </c>
      <c r="F160" s="6" t="n">
        <f aca="false">D160+E160</f>
        <v>280.774600021725</v>
      </c>
      <c r="G160" s="6" t="n">
        <f aca="false">F160-C160</f>
        <v>-5.22539997827528</v>
      </c>
      <c r="H160" s="4" t="str">
        <f aca="false">IF(G160&gt;2,"LATE",IF(G160&lt;-13,"EARLY","IN"))</f>
        <v>IN</v>
      </c>
      <c r="I160" s="4" t="n">
        <f aca="false">C160-D160</f>
        <v>19</v>
      </c>
    </row>
    <row r="161" customFormat="false" ht="15" hidden="false" customHeight="false" outlineLevel="0" collapsed="false">
      <c r="A161" s="4" t="n">
        <v>4</v>
      </c>
      <c r="B161" s="4" t="n">
        <v>42</v>
      </c>
      <c r="C161" s="4" t="n">
        <v>241</v>
      </c>
      <c r="D161" s="4" t="n">
        <v>223</v>
      </c>
      <c r="E161" s="6" t="n">
        <v>11.9136042820885</v>
      </c>
      <c r="F161" s="6" t="n">
        <f aca="false">D161+E161</f>
        <v>234.913604282089</v>
      </c>
      <c r="G161" s="6" t="n">
        <f aca="false">F161-C161</f>
        <v>-6.0863957179115</v>
      </c>
      <c r="H161" s="4" t="str">
        <f aca="false">IF(G161&gt;2,"LATE",IF(G161&lt;-13,"EARLY","IN"))</f>
        <v>IN</v>
      </c>
      <c r="I161" s="4" t="n">
        <f aca="false">C161-D161</f>
        <v>18</v>
      </c>
    </row>
    <row r="162" customFormat="false" ht="15" hidden="false" customHeight="false" outlineLevel="0" collapsed="false">
      <c r="A162" s="4" t="n">
        <v>4</v>
      </c>
      <c r="B162" s="4" t="n">
        <v>52</v>
      </c>
      <c r="C162" s="4" t="n">
        <v>212</v>
      </c>
      <c r="D162" s="4" t="n">
        <v>190</v>
      </c>
      <c r="E162" s="6" t="n">
        <v>16.0581401725545</v>
      </c>
      <c r="F162" s="6" t="n">
        <f aca="false">D162+E162</f>
        <v>206.058140172555</v>
      </c>
      <c r="G162" s="6" t="n">
        <f aca="false">F162-C162</f>
        <v>-5.94185982744548</v>
      </c>
      <c r="H162" s="4" t="str">
        <f aca="false">IF(G162&gt;2,"LATE",IF(G162&lt;-13,"EARLY","IN"))</f>
        <v>IN</v>
      </c>
      <c r="I162" s="4" t="n">
        <f aca="false">C162-D162</f>
        <v>22</v>
      </c>
    </row>
    <row r="163" customFormat="false" ht="15" hidden="false" customHeight="false" outlineLevel="0" collapsed="false">
      <c r="A163" s="4" t="n">
        <v>4</v>
      </c>
      <c r="B163" s="4" t="n">
        <v>60</v>
      </c>
      <c r="C163" s="4" t="n">
        <v>300</v>
      </c>
      <c r="D163" s="4" t="n">
        <v>276</v>
      </c>
      <c r="E163" s="6" t="n">
        <v>14.412605919397</v>
      </c>
      <c r="F163" s="6" t="n">
        <f aca="false">D163+E163</f>
        <v>290.412605919397</v>
      </c>
      <c r="G163" s="6" t="n">
        <f aca="false">F163-C163</f>
        <v>-9.58739408060296</v>
      </c>
      <c r="H163" s="4" t="str">
        <f aca="false">IF(G163&gt;2,"LATE",IF(G163&lt;-13,"EARLY","IN"))</f>
        <v>IN</v>
      </c>
      <c r="I163" s="4" t="n">
        <f aca="false">C163-D163</f>
        <v>24</v>
      </c>
    </row>
    <row r="164" customFormat="false" ht="15" hidden="false" customHeight="false" outlineLevel="0" collapsed="false">
      <c r="A164" s="4" t="n">
        <v>4</v>
      </c>
      <c r="B164" s="4" t="n">
        <v>62</v>
      </c>
      <c r="C164" s="4" t="n">
        <v>238</v>
      </c>
      <c r="D164" s="4" t="n">
        <v>219</v>
      </c>
      <c r="E164" s="6" t="n">
        <v>11.3096960125504</v>
      </c>
      <c r="F164" s="6" t="n">
        <f aca="false">D164+E164</f>
        <v>230.30969601255</v>
      </c>
      <c r="G164" s="6" t="n">
        <f aca="false">F164-C164</f>
        <v>-7.6903039874496</v>
      </c>
      <c r="H164" s="4" t="str">
        <f aca="false">IF(G164&gt;2,"LATE",IF(G164&lt;-13,"EARLY","IN"))</f>
        <v>IN</v>
      </c>
      <c r="I164" s="4" t="n">
        <f aca="false">C164-D164</f>
        <v>19</v>
      </c>
    </row>
    <row r="165" customFormat="false" ht="15" hidden="false" customHeight="false" outlineLevel="0" collapsed="false">
      <c r="A165" s="4" t="n">
        <v>4</v>
      </c>
      <c r="B165" s="4" t="n">
        <v>65</v>
      </c>
      <c r="C165" s="4" t="n">
        <v>209</v>
      </c>
      <c r="D165" s="4" t="n">
        <v>191</v>
      </c>
      <c r="E165" s="6" t="n">
        <v>13.3027089223751</v>
      </c>
      <c r="F165" s="6" t="n">
        <f aca="false">D165+E165</f>
        <v>204.302708922375</v>
      </c>
      <c r="G165" s="6" t="n">
        <f aca="false">F165-C165</f>
        <v>-4.69729107762487</v>
      </c>
      <c r="H165" s="4" t="str">
        <f aca="false">IF(G165&gt;2,"LATE",IF(G165&lt;-13,"EARLY","IN"))</f>
        <v>IN</v>
      </c>
      <c r="I165" s="4" t="n">
        <f aca="false">C165-D165</f>
        <v>18</v>
      </c>
    </row>
    <row r="166" customFormat="false" ht="15" hidden="false" customHeight="false" outlineLevel="0" collapsed="false">
      <c r="A166" s="4" t="n">
        <v>4</v>
      </c>
      <c r="B166" s="4" t="n">
        <v>67</v>
      </c>
      <c r="C166" s="4" t="n">
        <v>145</v>
      </c>
      <c r="D166" s="4" t="n">
        <v>126</v>
      </c>
      <c r="E166" s="6" t="n">
        <v>16.6008044287796</v>
      </c>
      <c r="F166" s="6" t="n">
        <f aca="false">D166+E166</f>
        <v>142.60080442878</v>
      </c>
      <c r="G166" s="6" t="n">
        <f aca="false">F166-C166</f>
        <v>-2.39919557122039</v>
      </c>
      <c r="H166" s="4" t="str">
        <f aca="false">IF(G166&gt;2,"LATE",IF(G166&lt;-13,"EARLY","IN"))</f>
        <v>IN</v>
      </c>
      <c r="I166" s="4" t="n">
        <f aca="false">C166-D166</f>
        <v>19</v>
      </c>
    </row>
    <row r="167" customFormat="false" ht="15" hidden="false" customHeight="false" outlineLevel="0" collapsed="false">
      <c r="A167" s="4" t="n">
        <v>4</v>
      </c>
      <c r="B167" s="4" t="n">
        <v>79</v>
      </c>
      <c r="C167" s="4" t="n">
        <v>225</v>
      </c>
      <c r="D167" s="4" t="n">
        <v>199</v>
      </c>
      <c r="E167" s="6" t="n">
        <v>17.5894431455063</v>
      </c>
      <c r="F167" s="6" t="n">
        <f aca="false">D167+E167</f>
        <v>216.589443145506</v>
      </c>
      <c r="G167" s="6" t="n">
        <f aca="false">F167-C167</f>
        <v>-8.41055685449373</v>
      </c>
      <c r="H167" s="4" t="str">
        <f aca="false">IF(G167&gt;2,"LATE",IF(G167&lt;-13,"EARLY","IN"))</f>
        <v>IN</v>
      </c>
      <c r="I167" s="4" t="n">
        <f aca="false">C167-D167</f>
        <v>26</v>
      </c>
    </row>
    <row r="168" customFormat="false" ht="15" hidden="false" customHeight="false" outlineLevel="0" collapsed="false">
      <c r="A168" s="4" t="n">
        <v>4</v>
      </c>
      <c r="B168" s="4" t="n">
        <v>83</v>
      </c>
      <c r="C168" s="4" t="n">
        <v>231</v>
      </c>
      <c r="D168" s="4" t="n">
        <v>214</v>
      </c>
      <c r="E168" s="6" t="n">
        <v>9.71344081662984</v>
      </c>
      <c r="F168" s="6" t="n">
        <f aca="false">D168+E168</f>
        <v>223.71344081663</v>
      </c>
      <c r="G168" s="6" t="n">
        <f aca="false">F168-C168</f>
        <v>-7.28655918337014</v>
      </c>
      <c r="H168" s="4" t="str">
        <f aca="false">IF(G168&gt;2,"LATE",IF(G168&lt;-13,"EARLY","IN"))</f>
        <v>IN</v>
      </c>
      <c r="I168" s="4" t="n">
        <f aca="false">C168-D168</f>
        <v>17</v>
      </c>
    </row>
    <row r="169" customFormat="false" ht="15" hidden="false" customHeight="false" outlineLevel="0" collapsed="false">
      <c r="A169" s="4" t="n">
        <v>4</v>
      </c>
      <c r="B169" s="4" t="n">
        <v>84</v>
      </c>
      <c r="C169" s="4" t="n">
        <v>206</v>
      </c>
      <c r="D169" s="4" t="n">
        <v>187</v>
      </c>
      <c r="E169" s="6" t="n">
        <v>12.6828521030929</v>
      </c>
      <c r="F169" s="6" t="n">
        <f aca="false">D169+E169</f>
        <v>199.682852103093</v>
      </c>
      <c r="G169" s="6" t="n">
        <f aca="false">F169-C169</f>
        <v>-6.31714789690713</v>
      </c>
      <c r="H169" s="4" t="str">
        <f aca="false">IF(G169&gt;2,"LATE",IF(G169&lt;-13,"EARLY","IN"))</f>
        <v>IN</v>
      </c>
      <c r="I169" s="4" t="n">
        <f aca="false">C169-D169</f>
        <v>19</v>
      </c>
    </row>
    <row r="170" customFormat="false" ht="15" hidden="false" customHeight="false" outlineLevel="0" collapsed="false">
      <c r="A170" s="4" t="n">
        <v>4</v>
      </c>
      <c r="B170" s="4" t="n">
        <v>88</v>
      </c>
      <c r="C170" s="4" t="n">
        <v>134</v>
      </c>
      <c r="D170" s="4" t="n">
        <v>117</v>
      </c>
      <c r="E170" s="6" t="n">
        <v>13.3403135198474</v>
      </c>
      <c r="F170" s="6" t="n">
        <f aca="false">D170+E170</f>
        <v>130.340313519847</v>
      </c>
      <c r="G170" s="6" t="n">
        <f aca="false">F170-C170</f>
        <v>-3.6596864801526</v>
      </c>
      <c r="H170" s="4" t="str">
        <f aca="false">IF(G170&gt;2,"LATE",IF(G170&lt;-13,"EARLY","IN"))</f>
        <v>IN</v>
      </c>
      <c r="I170" s="4" t="n">
        <f aca="false">C170-D170</f>
        <v>17</v>
      </c>
    </row>
    <row r="171" customFormat="false" ht="15" hidden="false" customHeight="false" outlineLevel="0" collapsed="false">
      <c r="A171" s="4" t="n">
        <v>4</v>
      </c>
      <c r="B171" s="4" t="n">
        <v>91</v>
      </c>
      <c r="C171" s="4" t="n">
        <v>199</v>
      </c>
      <c r="D171" s="4" t="n">
        <v>179</v>
      </c>
      <c r="E171" s="6" t="n">
        <v>18.7571951714222</v>
      </c>
      <c r="F171" s="6" t="n">
        <f aca="false">D171+E171</f>
        <v>197.757195171422</v>
      </c>
      <c r="G171" s="6" t="n">
        <f aca="false">F171-C171</f>
        <v>-1.24280482857776</v>
      </c>
      <c r="H171" s="4" t="str">
        <f aca="false">IF(G171&gt;2,"LATE",IF(G171&lt;-13,"EARLY","IN"))</f>
        <v>IN</v>
      </c>
      <c r="I171" s="4" t="n">
        <f aca="false">C171-D171</f>
        <v>20</v>
      </c>
    </row>
    <row r="172" customFormat="false" ht="15" hidden="false" customHeight="false" outlineLevel="0" collapsed="false">
      <c r="A172" s="4" t="n">
        <v>4</v>
      </c>
      <c r="B172" s="4" t="n">
        <v>92</v>
      </c>
      <c r="C172" s="4" t="n">
        <v>207</v>
      </c>
      <c r="D172" s="4" t="n">
        <v>189</v>
      </c>
      <c r="E172" s="6" t="n">
        <v>13.0010269851279</v>
      </c>
      <c r="F172" s="6" t="n">
        <f aca="false">D172+E172</f>
        <v>202.001026985128</v>
      </c>
      <c r="G172" s="6" t="n">
        <f aca="false">F172-C172</f>
        <v>-4.99897301487209</v>
      </c>
      <c r="H172" s="4" t="str">
        <f aca="false">IF(G172&gt;2,"LATE",IF(G172&lt;-13,"EARLY","IN"))</f>
        <v>IN</v>
      </c>
      <c r="I172" s="4" t="n">
        <f aca="false">C172-D172</f>
        <v>18</v>
      </c>
    </row>
    <row r="173" customFormat="false" ht="15" hidden="false" customHeight="false" outlineLevel="0" collapsed="false">
      <c r="A173" s="4" t="n">
        <v>4</v>
      </c>
      <c r="B173" s="4" t="n">
        <v>96</v>
      </c>
      <c r="C173" s="4" t="n">
        <v>339</v>
      </c>
      <c r="D173" s="4" t="n">
        <v>311</v>
      </c>
      <c r="E173" s="6" t="n">
        <v>10.7548671928214</v>
      </c>
      <c r="F173" s="6" t="n">
        <f aca="false">D173+E173</f>
        <v>321.754867192821</v>
      </c>
      <c r="G173" s="6" t="n">
        <f aca="false">F173-C173</f>
        <v>-17.2451328071786</v>
      </c>
      <c r="H173" s="4" t="str">
        <f aca="false">IF(G173&gt;2,"LATE",IF(G173&lt;-13,"EARLY","IN"))</f>
        <v>EARLY</v>
      </c>
      <c r="I173" s="4" t="n">
        <f aca="false">C173-D173</f>
        <v>28</v>
      </c>
    </row>
    <row r="174" customFormat="false" ht="15" hidden="false" customHeight="false" outlineLevel="0" collapsed="false">
      <c r="A174" s="4" t="n">
        <v>4</v>
      </c>
      <c r="B174" s="4" t="n">
        <v>97</v>
      </c>
      <c r="C174" s="4" t="n">
        <v>157</v>
      </c>
      <c r="D174" s="4" t="n">
        <v>144</v>
      </c>
      <c r="E174" s="6" t="n">
        <v>15.4875406543136</v>
      </c>
      <c r="F174" s="6" t="n">
        <f aca="false">D174+E174</f>
        <v>159.487540654314</v>
      </c>
      <c r="G174" s="6" t="n">
        <f aca="false">F174-C174</f>
        <v>2.48754065431362</v>
      </c>
      <c r="H174" s="4" t="str">
        <f aca="false">IF(G174&gt;2,"LATE",IF(G174&lt;-13,"EARLY","IN"))</f>
        <v>LATE</v>
      </c>
      <c r="I174" s="4" t="n">
        <f aca="false">C174-D174</f>
        <v>13</v>
      </c>
    </row>
    <row r="175" customFormat="false" ht="15" hidden="false" customHeight="false" outlineLevel="0" collapsed="false">
      <c r="A175" s="4" t="n">
        <v>4</v>
      </c>
      <c r="B175" s="4" t="n">
        <v>104</v>
      </c>
      <c r="C175" s="4" t="n">
        <v>178</v>
      </c>
      <c r="D175" s="4" t="n">
        <v>158</v>
      </c>
      <c r="E175" s="6" t="n">
        <v>16.9340311781005</v>
      </c>
      <c r="F175" s="6" t="n">
        <f aca="false">D175+E175</f>
        <v>174.934031178101</v>
      </c>
      <c r="G175" s="6" t="n">
        <f aca="false">F175-C175</f>
        <v>-3.0659688218995</v>
      </c>
      <c r="H175" s="4" t="str">
        <f aca="false">IF(G175&gt;2,"LATE",IF(G175&lt;-13,"EARLY","IN"))</f>
        <v>IN</v>
      </c>
      <c r="I175" s="4" t="n">
        <f aca="false">C175-D175</f>
        <v>20</v>
      </c>
    </row>
    <row r="176" customFormat="false" ht="15" hidden="false" customHeight="false" outlineLevel="0" collapsed="false">
      <c r="A176" s="4" t="n">
        <v>4</v>
      </c>
      <c r="B176" s="4" t="n">
        <v>107</v>
      </c>
      <c r="C176" s="4" t="n">
        <v>200</v>
      </c>
      <c r="D176" s="4" t="n">
        <v>186</v>
      </c>
      <c r="E176" s="6" t="n">
        <v>13.794026302077</v>
      </c>
      <c r="F176" s="6" t="n">
        <f aca="false">D176+E176</f>
        <v>199.794026302077</v>
      </c>
      <c r="G176" s="6" t="n">
        <f aca="false">F176-C176</f>
        <v>-0.205973697923042</v>
      </c>
      <c r="H176" s="4" t="str">
        <f aca="false">IF(G176&gt;2,"LATE",IF(G176&lt;-13,"EARLY","IN"))</f>
        <v>IN</v>
      </c>
      <c r="I176" s="4" t="n">
        <f aca="false">C176-D176</f>
        <v>14</v>
      </c>
    </row>
    <row r="177" customFormat="false" ht="15" hidden="false" customHeight="false" outlineLevel="0" collapsed="false">
      <c r="A177" s="4" t="n">
        <v>4</v>
      </c>
      <c r="B177" s="4" t="n">
        <v>111</v>
      </c>
      <c r="C177" s="4" t="n">
        <v>227</v>
      </c>
      <c r="D177" s="4" t="n">
        <v>207</v>
      </c>
      <c r="E177" s="6" t="n">
        <v>14.8765998300027</v>
      </c>
      <c r="F177" s="6" t="n">
        <f aca="false">D177+E177</f>
        <v>221.876599830003</v>
      </c>
      <c r="G177" s="6" t="n">
        <f aca="false">F177-C177</f>
        <v>-5.1234001699973</v>
      </c>
      <c r="H177" s="4" t="str">
        <f aca="false">IF(G177&gt;2,"LATE",IF(G177&lt;-13,"EARLY","IN"))</f>
        <v>IN</v>
      </c>
      <c r="I177" s="4" t="n">
        <f aca="false">C177-D177</f>
        <v>20</v>
      </c>
    </row>
    <row r="178" customFormat="false" ht="15" hidden="false" customHeight="false" outlineLevel="0" collapsed="false">
      <c r="A178" s="4" t="n">
        <v>4</v>
      </c>
      <c r="B178" s="4" t="n">
        <v>122</v>
      </c>
      <c r="C178" s="4" t="n">
        <v>237</v>
      </c>
      <c r="D178" s="4" t="n">
        <v>214</v>
      </c>
      <c r="E178" s="6" t="n">
        <v>13.6233515366345</v>
      </c>
      <c r="F178" s="6" t="n">
        <f aca="false">D178+E178</f>
        <v>227.623351536635</v>
      </c>
      <c r="G178" s="6" t="n">
        <f aca="false">F178-C178</f>
        <v>-9.37664846336551</v>
      </c>
      <c r="H178" s="4" t="str">
        <f aca="false">IF(G178&gt;2,"LATE",IF(G178&lt;-13,"EARLY","IN"))</f>
        <v>IN</v>
      </c>
      <c r="I178" s="4" t="n">
        <f aca="false">C178-D178</f>
        <v>23</v>
      </c>
    </row>
    <row r="179" customFormat="false" ht="15" hidden="false" customHeight="false" outlineLevel="0" collapsed="false">
      <c r="A179" s="4" t="n">
        <v>4</v>
      </c>
      <c r="B179" s="4" t="n">
        <v>123</v>
      </c>
      <c r="C179" s="4" t="n">
        <v>254</v>
      </c>
      <c r="D179" s="4" t="n">
        <v>229</v>
      </c>
      <c r="E179" s="6" t="n">
        <v>18.587619317778</v>
      </c>
      <c r="F179" s="6" t="n">
        <f aca="false">D179+E179</f>
        <v>247.587619317778</v>
      </c>
      <c r="G179" s="6" t="n">
        <f aca="false">F179-C179</f>
        <v>-6.41238068222205</v>
      </c>
      <c r="H179" s="4" t="str">
        <f aca="false">IF(G179&gt;2,"LATE",IF(G179&lt;-13,"EARLY","IN"))</f>
        <v>IN</v>
      </c>
      <c r="I179" s="4" t="n">
        <f aca="false">C179-D179</f>
        <v>25</v>
      </c>
    </row>
    <row r="180" customFormat="false" ht="15" hidden="false" customHeight="false" outlineLevel="0" collapsed="false">
      <c r="A180" s="4" t="n">
        <v>4</v>
      </c>
      <c r="B180" s="4" t="n">
        <v>126</v>
      </c>
      <c r="C180" s="4" t="n">
        <v>241</v>
      </c>
      <c r="D180" s="4" t="n">
        <v>229</v>
      </c>
      <c r="E180" s="6" t="n">
        <v>8.79943688973406</v>
      </c>
      <c r="F180" s="6" t="n">
        <f aca="false">D180+E180</f>
        <v>237.799436889734</v>
      </c>
      <c r="G180" s="6" t="n">
        <f aca="false">F180-C180</f>
        <v>-3.20056311026593</v>
      </c>
      <c r="H180" s="4" t="str">
        <f aca="false">IF(G180&gt;2,"LATE",IF(G180&lt;-13,"EARLY","IN"))</f>
        <v>IN</v>
      </c>
      <c r="I180" s="4" t="n">
        <f aca="false">C180-D180</f>
        <v>12</v>
      </c>
    </row>
    <row r="181" customFormat="false" ht="15" hidden="false" customHeight="false" outlineLevel="0" collapsed="false">
      <c r="A181" s="4" t="n">
        <v>4</v>
      </c>
      <c r="B181" s="4" t="n">
        <v>128</v>
      </c>
      <c r="C181" s="4" t="n">
        <v>159</v>
      </c>
      <c r="D181" s="4" t="n">
        <v>148</v>
      </c>
      <c r="E181" s="6" t="n">
        <v>12.585705001662</v>
      </c>
      <c r="F181" s="6" t="n">
        <f aca="false">D181+E181</f>
        <v>160.585705001662</v>
      </c>
      <c r="G181" s="6" t="n">
        <f aca="false">F181-C181</f>
        <v>1.58570500166203</v>
      </c>
      <c r="H181" s="4" t="str">
        <f aca="false">IF(G181&gt;2,"LATE",IF(G181&lt;-13,"EARLY","IN"))</f>
        <v>IN</v>
      </c>
      <c r="I181" s="4" t="n">
        <f aca="false">C181-D181</f>
        <v>11</v>
      </c>
    </row>
    <row r="182" customFormat="false" ht="15" hidden="false" customHeight="false" outlineLevel="0" collapsed="false">
      <c r="A182" s="4" t="n">
        <v>4</v>
      </c>
      <c r="B182" s="4" t="n">
        <v>133</v>
      </c>
      <c r="C182" s="4" t="n">
        <v>151</v>
      </c>
      <c r="D182" s="4" t="n">
        <v>134</v>
      </c>
      <c r="E182" s="6" t="n">
        <v>13.7851393299422</v>
      </c>
      <c r="F182" s="6" t="n">
        <f aca="false">D182+E182</f>
        <v>147.785139329942</v>
      </c>
      <c r="G182" s="6" t="n">
        <f aca="false">F182-C182</f>
        <v>-3.21486067005785</v>
      </c>
      <c r="H182" s="4" t="str">
        <f aca="false">IF(G182&gt;2,"LATE",IF(G182&lt;-13,"EARLY","IN"))</f>
        <v>IN</v>
      </c>
      <c r="I182" s="4" t="n">
        <f aca="false">C182-D182</f>
        <v>17</v>
      </c>
    </row>
    <row r="183" customFormat="false" ht="15" hidden="false" customHeight="false" outlineLevel="0" collapsed="false">
      <c r="A183" s="4" t="n">
        <v>4</v>
      </c>
      <c r="B183" s="4" t="n">
        <v>134</v>
      </c>
      <c r="C183" s="4" t="n">
        <v>173</v>
      </c>
      <c r="D183" s="4" t="n">
        <v>151</v>
      </c>
      <c r="E183" s="6" t="n">
        <v>14.6967868264962</v>
      </c>
      <c r="F183" s="6" t="n">
        <f aca="false">D183+E183</f>
        <v>165.696786826496</v>
      </c>
      <c r="G183" s="6" t="n">
        <f aca="false">F183-C183</f>
        <v>-7.30321317350385</v>
      </c>
      <c r="H183" s="4" t="str">
        <f aca="false">IF(G183&gt;2,"LATE",IF(G183&lt;-13,"EARLY","IN"))</f>
        <v>IN</v>
      </c>
      <c r="I183" s="4" t="n">
        <f aca="false">C183-D183</f>
        <v>22</v>
      </c>
    </row>
    <row r="184" customFormat="false" ht="15" hidden="false" customHeight="false" outlineLevel="0" collapsed="false">
      <c r="A184" s="4" t="n">
        <v>4</v>
      </c>
      <c r="B184" s="4" t="n">
        <v>139</v>
      </c>
      <c r="C184" s="4" t="n">
        <v>211</v>
      </c>
      <c r="D184" s="4" t="n">
        <v>195</v>
      </c>
      <c r="E184" s="6" t="n">
        <v>13.2684524861331</v>
      </c>
      <c r="F184" s="6" t="n">
        <f aca="false">D184+E184</f>
        <v>208.268452486133</v>
      </c>
      <c r="G184" s="6" t="n">
        <f aca="false">F184-C184</f>
        <v>-2.73154751386693</v>
      </c>
      <c r="H184" s="4" t="str">
        <f aca="false">IF(G184&gt;2,"LATE",IF(G184&lt;-13,"EARLY","IN"))</f>
        <v>IN</v>
      </c>
      <c r="I184" s="4" t="n">
        <f aca="false">C184-D184</f>
        <v>16</v>
      </c>
    </row>
    <row r="185" customFormat="false" ht="15" hidden="false" customHeight="false" outlineLevel="0" collapsed="false">
      <c r="A185" s="4" t="n">
        <v>4</v>
      </c>
      <c r="B185" s="4" t="n">
        <v>150</v>
      </c>
      <c r="C185" s="4" t="n">
        <v>175</v>
      </c>
      <c r="D185" s="4" t="n">
        <v>156</v>
      </c>
      <c r="E185" s="6" t="n">
        <v>14.6378405704928</v>
      </c>
      <c r="F185" s="6" t="n">
        <f aca="false">D185+E185</f>
        <v>170.637840570493</v>
      </c>
      <c r="G185" s="6" t="n">
        <f aca="false">F185-C185</f>
        <v>-4.36215942950716</v>
      </c>
      <c r="H185" s="4" t="str">
        <f aca="false">IF(G185&gt;2,"LATE",IF(G185&lt;-13,"EARLY","IN"))</f>
        <v>IN</v>
      </c>
      <c r="I185" s="4" t="n">
        <f aca="false">C185-D185</f>
        <v>19</v>
      </c>
    </row>
    <row r="186" customFormat="false" ht="15" hidden="false" customHeight="false" outlineLevel="0" collapsed="false">
      <c r="A186" s="4" t="n">
        <v>4</v>
      </c>
      <c r="B186" s="4" t="n">
        <v>151</v>
      </c>
      <c r="C186" s="4" t="n">
        <v>317</v>
      </c>
      <c r="D186" s="4" t="n">
        <v>293</v>
      </c>
      <c r="E186" s="6" t="n">
        <v>13.3933895294983</v>
      </c>
      <c r="F186" s="6" t="n">
        <f aca="false">D186+E186</f>
        <v>306.393389529498</v>
      </c>
      <c r="G186" s="6" t="n">
        <f aca="false">F186-C186</f>
        <v>-10.6066104705017</v>
      </c>
      <c r="H186" s="4" t="str">
        <f aca="false">IF(G186&gt;2,"LATE",IF(G186&lt;-13,"EARLY","IN"))</f>
        <v>IN</v>
      </c>
      <c r="I186" s="4" t="n">
        <f aca="false">C186-D186</f>
        <v>24</v>
      </c>
    </row>
    <row r="187" customFormat="false" ht="15" hidden="false" customHeight="false" outlineLevel="0" collapsed="false">
      <c r="A187" s="4" t="n">
        <v>4</v>
      </c>
      <c r="B187" s="4" t="n">
        <v>155</v>
      </c>
      <c r="C187" s="4" t="n">
        <v>221</v>
      </c>
      <c r="D187" s="4" t="n">
        <v>203</v>
      </c>
      <c r="E187" s="6" t="n">
        <v>13.037641218882</v>
      </c>
      <c r="F187" s="6" t="n">
        <f aca="false">D187+E187</f>
        <v>216.037641218882</v>
      </c>
      <c r="G187" s="6" t="n">
        <f aca="false">F187-C187</f>
        <v>-4.96235878111801</v>
      </c>
      <c r="H187" s="4" t="str">
        <f aca="false">IF(G187&gt;2,"LATE",IF(G187&lt;-13,"EARLY","IN"))</f>
        <v>IN</v>
      </c>
      <c r="I187" s="4" t="n">
        <f aca="false">C187-D187</f>
        <v>18</v>
      </c>
    </row>
    <row r="188" customFormat="false" ht="15" hidden="false" customHeight="false" outlineLevel="0" collapsed="false">
      <c r="A188" s="4" t="n">
        <v>4</v>
      </c>
      <c r="B188" s="4" t="n">
        <v>156</v>
      </c>
      <c r="C188" s="4" t="n">
        <v>228</v>
      </c>
      <c r="D188" s="4" t="n">
        <v>210</v>
      </c>
      <c r="E188" s="6" t="n">
        <v>11.1641524286488</v>
      </c>
      <c r="F188" s="6" t="n">
        <f aca="false">D188+E188</f>
        <v>221.164152428649</v>
      </c>
      <c r="G188" s="6" t="n">
        <f aca="false">F188-C188</f>
        <v>-6.83584757135125</v>
      </c>
      <c r="H188" s="4" t="str">
        <f aca="false">IF(G188&gt;2,"LATE",IF(G188&lt;-13,"EARLY","IN"))</f>
        <v>IN</v>
      </c>
      <c r="I188" s="4" t="n">
        <f aca="false">C188-D188</f>
        <v>18</v>
      </c>
    </row>
    <row r="189" customFormat="false" ht="15" hidden="false" customHeight="false" outlineLevel="0" collapsed="false">
      <c r="A189" s="4" t="n">
        <v>4</v>
      </c>
      <c r="B189" s="4" t="n">
        <v>158</v>
      </c>
      <c r="C189" s="4" t="n">
        <v>167</v>
      </c>
      <c r="D189" s="4" t="n">
        <v>149</v>
      </c>
      <c r="E189" s="6" t="n">
        <v>13.1801063470875</v>
      </c>
      <c r="F189" s="6" t="n">
        <f aca="false">D189+E189</f>
        <v>162.180106347088</v>
      </c>
      <c r="G189" s="6" t="n">
        <f aca="false">F189-C189</f>
        <v>-4.81989365291247</v>
      </c>
      <c r="H189" s="4" t="str">
        <f aca="false">IF(G189&gt;2,"LATE",IF(G189&lt;-13,"EARLY","IN"))</f>
        <v>IN</v>
      </c>
      <c r="I189" s="4" t="n">
        <f aca="false">C189-D189</f>
        <v>18</v>
      </c>
    </row>
    <row r="190" customFormat="false" ht="15" hidden="false" customHeight="false" outlineLevel="0" collapsed="false">
      <c r="A190" s="4" t="n">
        <v>4</v>
      </c>
      <c r="B190" s="4" t="n">
        <v>159</v>
      </c>
      <c r="C190" s="4" t="n">
        <v>174</v>
      </c>
      <c r="D190" s="4" t="n">
        <v>156</v>
      </c>
      <c r="E190" s="6" t="n">
        <v>17.1313570974335</v>
      </c>
      <c r="F190" s="6" t="n">
        <f aca="false">D190+E190</f>
        <v>173.131357097434</v>
      </c>
      <c r="G190" s="6" t="n">
        <f aca="false">F190-C190</f>
        <v>-0.868642902566478</v>
      </c>
      <c r="H190" s="4" t="str">
        <f aca="false">IF(G190&gt;2,"LATE",IF(G190&lt;-13,"EARLY","IN"))</f>
        <v>IN</v>
      </c>
      <c r="I190" s="4" t="n">
        <f aca="false">C190-D190</f>
        <v>18</v>
      </c>
    </row>
    <row r="191" customFormat="false" ht="15" hidden="false" customHeight="false" outlineLevel="0" collapsed="false">
      <c r="A191" s="4" t="n">
        <v>4</v>
      </c>
      <c r="B191" s="4" t="n">
        <v>161</v>
      </c>
      <c r="C191" s="4" t="n">
        <v>184</v>
      </c>
      <c r="D191" s="4" t="n">
        <v>169</v>
      </c>
      <c r="E191" s="6" t="n">
        <v>9.90703501382696</v>
      </c>
      <c r="F191" s="6" t="n">
        <f aca="false">D191+E191</f>
        <v>178.907035013827</v>
      </c>
      <c r="G191" s="6" t="n">
        <f aca="false">F191-C191</f>
        <v>-5.09296498617303</v>
      </c>
      <c r="H191" s="4" t="str">
        <f aca="false">IF(G191&gt;2,"LATE",IF(G191&lt;-13,"EARLY","IN"))</f>
        <v>IN</v>
      </c>
      <c r="I191" s="4" t="n">
        <f aca="false">C191-D191</f>
        <v>15</v>
      </c>
    </row>
    <row r="192" customFormat="false" ht="15" hidden="false" customHeight="false" outlineLevel="0" collapsed="false">
      <c r="A192" s="4" t="n">
        <v>4</v>
      </c>
      <c r="B192" s="4" t="n">
        <v>165</v>
      </c>
      <c r="C192" s="4" t="n">
        <v>160</v>
      </c>
      <c r="D192" s="4" t="n">
        <v>143</v>
      </c>
      <c r="E192" s="6" t="n">
        <v>15.8796655752916</v>
      </c>
      <c r="F192" s="6" t="n">
        <f aca="false">D192+E192</f>
        <v>158.879665575292</v>
      </c>
      <c r="G192" s="6" t="n">
        <f aca="false">F192-C192</f>
        <v>-1.1203344247084</v>
      </c>
      <c r="H192" s="4" t="str">
        <f aca="false">IF(G192&gt;2,"LATE",IF(G192&lt;-13,"EARLY","IN"))</f>
        <v>IN</v>
      </c>
      <c r="I192" s="4" t="n">
        <f aca="false">C192-D192</f>
        <v>17</v>
      </c>
    </row>
    <row r="193" customFormat="false" ht="15" hidden="false" customHeight="false" outlineLevel="0" collapsed="false">
      <c r="A193" s="4" t="n">
        <v>4</v>
      </c>
      <c r="B193" s="4" t="n">
        <v>182</v>
      </c>
      <c r="C193" s="4" t="n">
        <v>220</v>
      </c>
      <c r="D193" s="4" t="n">
        <v>196</v>
      </c>
      <c r="E193" s="6" t="n">
        <v>11.4036928060342</v>
      </c>
      <c r="F193" s="6" t="n">
        <f aca="false">D193+E193</f>
        <v>207.403692806034</v>
      </c>
      <c r="G193" s="6" t="n">
        <f aca="false">F193-C193</f>
        <v>-12.5963071939658</v>
      </c>
      <c r="H193" s="4" t="str">
        <f aca="false">IF(G193&gt;2,"LATE",IF(G193&lt;-13,"EARLY","IN"))</f>
        <v>IN</v>
      </c>
      <c r="I193" s="4" t="n">
        <f aca="false">C193-D193</f>
        <v>24</v>
      </c>
    </row>
    <row r="194" customFormat="false" ht="15" hidden="false" customHeight="false" outlineLevel="0" collapsed="false">
      <c r="A194" s="4" t="n">
        <v>4</v>
      </c>
      <c r="B194" s="4" t="n">
        <v>194</v>
      </c>
      <c r="C194" s="4" t="n">
        <v>246</v>
      </c>
      <c r="D194" s="4" t="n">
        <v>223</v>
      </c>
      <c r="E194" s="6" t="n">
        <v>11.6789692500283</v>
      </c>
      <c r="F194" s="6" t="n">
        <f aca="false">D194+E194</f>
        <v>234.678969250028</v>
      </c>
      <c r="G194" s="6" t="n">
        <f aca="false">F194-C194</f>
        <v>-11.3210307499717</v>
      </c>
      <c r="H194" s="4" t="str">
        <f aca="false">IF(G194&gt;2,"LATE",IF(G194&lt;-13,"EARLY","IN"))</f>
        <v>IN</v>
      </c>
      <c r="I194" s="4" t="n">
        <f aca="false">C194-D194</f>
        <v>23</v>
      </c>
    </row>
    <row r="195" customFormat="false" ht="15" hidden="false" customHeight="false" outlineLevel="0" collapsed="false">
      <c r="A195" s="4" t="n">
        <v>4</v>
      </c>
      <c r="B195" s="4" t="n">
        <v>199</v>
      </c>
      <c r="C195" s="4" t="n">
        <v>192</v>
      </c>
      <c r="D195" s="4" t="n">
        <v>177</v>
      </c>
      <c r="E195" s="6" t="n">
        <v>9.89751388916316</v>
      </c>
      <c r="F195" s="6" t="n">
        <f aca="false">D195+E195</f>
        <v>186.897513889163</v>
      </c>
      <c r="G195" s="6" t="n">
        <f aca="false">F195-C195</f>
        <v>-5.10248611083685</v>
      </c>
      <c r="H195" s="4" t="str">
        <f aca="false">IF(G195&gt;2,"LATE",IF(G195&lt;-13,"EARLY","IN"))</f>
        <v>IN</v>
      </c>
      <c r="I195" s="4" t="n">
        <f aca="false">C195-D195</f>
        <v>15</v>
      </c>
    </row>
    <row r="196" customFormat="false" ht="15" hidden="false" customHeight="false" outlineLevel="0" collapsed="false">
      <c r="A196" s="4" t="n">
        <v>4</v>
      </c>
      <c r="B196" s="4" t="n">
        <v>203</v>
      </c>
      <c r="C196" s="4" t="n">
        <v>225</v>
      </c>
      <c r="D196" s="4" t="n">
        <v>206</v>
      </c>
      <c r="E196" s="6" t="n">
        <v>12.9650027945292</v>
      </c>
      <c r="F196" s="6" t="n">
        <f aca="false">D196+E196</f>
        <v>218.965002794529</v>
      </c>
      <c r="G196" s="6" t="n">
        <f aca="false">F196-C196</f>
        <v>-6.0349972054708</v>
      </c>
      <c r="H196" s="4" t="str">
        <f aca="false">IF(G196&gt;2,"LATE",IF(G196&lt;-13,"EARLY","IN"))</f>
        <v>IN</v>
      </c>
      <c r="I196" s="4" t="n">
        <f aca="false">C196-D196</f>
        <v>19</v>
      </c>
    </row>
    <row r="197" customFormat="false" ht="15" hidden="false" customHeight="false" outlineLevel="0" collapsed="false">
      <c r="A197" s="4" t="n">
        <v>4</v>
      </c>
      <c r="B197" s="4" t="n">
        <v>206</v>
      </c>
      <c r="C197" s="4" t="n">
        <v>155</v>
      </c>
      <c r="D197" s="4" t="n">
        <v>136</v>
      </c>
      <c r="E197" s="6" t="n">
        <v>17.7078888040069</v>
      </c>
      <c r="F197" s="6" t="n">
        <f aca="false">D197+E197</f>
        <v>153.707888804007</v>
      </c>
      <c r="G197" s="6" t="n">
        <f aca="false">F197-C197</f>
        <v>-1.29211119599316</v>
      </c>
      <c r="H197" s="4" t="str">
        <f aca="false">IF(G197&gt;2,"LATE",IF(G197&lt;-13,"EARLY","IN"))</f>
        <v>IN</v>
      </c>
      <c r="I197" s="4" t="n">
        <f aca="false">C197-D197</f>
        <v>19</v>
      </c>
    </row>
    <row r="198" customFormat="false" ht="15" hidden="false" customHeight="false" outlineLevel="0" collapsed="false">
      <c r="A198" s="4" t="n">
        <v>4</v>
      </c>
      <c r="B198" s="4" t="n">
        <v>209</v>
      </c>
      <c r="C198" s="4" t="n">
        <v>252</v>
      </c>
      <c r="D198" s="4" t="n">
        <v>229</v>
      </c>
      <c r="E198" s="6" t="n">
        <v>12.7552756971869</v>
      </c>
      <c r="F198" s="6" t="n">
        <f aca="false">D198+E198</f>
        <v>241.755275697187</v>
      </c>
      <c r="G198" s="6" t="n">
        <f aca="false">F198-C198</f>
        <v>-10.2447243028131</v>
      </c>
      <c r="H198" s="4" t="str">
        <f aca="false">IF(G198&gt;2,"LATE",IF(G198&lt;-13,"EARLY","IN"))</f>
        <v>IN</v>
      </c>
      <c r="I198" s="4" t="n">
        <f aca="false">C198-D198</f>
        <v>23</v>
      </c>
    </row>
    <row r="199" customFormat="false" ht="15" hidden="false" customHeight="false" outlineLevel="0" collapsed="false">
      <c r="A199" s="4" t="n">
        <v>4</v>
      </c>
      <c r="B199" s="4" t="n">
        <v>210</v>
      </c>
      <c r="C199" s="4" t="n">
        <v>233</v>
      </c>
      <c r="D199" s="4" t="n">
        <v>209</v>
      </c>
      <c r="E199" s="6" t="n">
        <v>10.1706218892721</v>
      </c>
      <c r="F199" s="6" t="n">
        <f aca="false">D199+E199</f>
        <v>219.170621889272</v>
      </c>
      <c r="G199" s="6" t="n">
        <f aca="false">F199-C199</f>
        <v>-13.8293781107279</v>
      </c>
      <c r="H199" s="4" t="str">
        <f aca="false">IF(G199&gt;2,"LATE",IF(G199&lt;-13,"EARLY","IN"))</f>
        <v>EARLY</v>
      </c>
      <c r="I199" s="4" t="n">
        <f aca="false">C199-D199</f>
        <v>24</v>
      </c>
    </row>
    <row r="200" customFormat="false" ht="15" hidden="false" customHeight="false" outlineLevel="0" collapsed="false">
      <c r="A200" s="4" t="n">
        <v>4</v>
      </c>
      <c r="B200" s="4" t="n">
        <v>215</v>
      </c>
      <c r="C200" s="4" t="n">
        <v>156</v>
      </c>
      <c r="D200" s="4" t="n">
        <v>142</v>
      </c>
      <c r="E200" s="6" t="n">
        <v>10.8143486135241</v>
      </c>
      <c r="F200" s="6" t="n">
        <f aca="false">D200+E200</f>
        <v>152.814348613524</v>
      </c>
      <c r="G200" s="6" t="n">
        <f aca="false">F200-C200</f>
        <v>-3.18565138647591</v>
      </c>
      <c r="H200" s="4" t="str">
        <f aca="false">IF(G200&gt;2,"LATE",IF(G200&lt;-13,"EARLY","IN"))</f>
        <v>IN</v>
      </c>
      <c r="I200" s="4" t="n">
        <f aca="false">C200-D200</f>
        <v>14</v>
      </c>
    </row>
    <row r="201" customFormat="false" ht="15" hidden="false" customHeight="false" outlineLevel="0" collapsed="false">
      <c r="A201" s="4" t="n">
        <v>4</v>
      </c>
      <c r="B201" s="4" t="n">
        <v>218</v>
      </c>
      <c r="C201" s="4" t="n">
        <v>133</v>
      </c>
      <c r="D201" s="4" t="n">
        <v>119</v>
      </c>
      <c r="E201" s="6" t="n">
        <v>14.5992360626276</v>
      </c>
      <c r="F201" s="6" t="n">
        <f aca="false">D201+E201</f>
        <v>133.599236062628</v>
      </c>
      <c r="G201" s="6" t="n">
        <f aca="false">F201-C201</f>
        <v>0.599236062627568</v>
      </c>
      <c r="H201" s="4" t="str">
        <f aca="false">IF(G201&gt;2,"LATE",IF(G201&lt;-13,"EARLY","IN"))</f>
        <v>IN</v>
      </c>
      <c r="I201" s="4" t="n">
        <f aca="false">C201-D201</f>
        <v>14</v>
      </c>
    </row>
    <row r="202" customFormat="false" ht="15" hidden="false" customHeight="false" outlineLevel="0" collapsed="false">
      <c r="A202" s="4" t="n">
        <v>5</v>
      </c>
      <c r="B202" s="4" t="n">
        <v>5</v>
      </c>
      <c r="C202" s="4" t="n">
        <v>357</v>
      </c>
      <c r="D202" s="4" t="n">
        <v>323</v>
      </c>
      <c r="E202" s="6" t="n">
        <v>16.0035579871464</v>
      </c>
      <c r="F202" s="6" t="n">
        <f aca="false">D202+E202</f>
        <v>339.003557987146</v>
      </c>
      <c r="G202" s="6" t="n">
        <f aca="false">F202-C202</f>
        <v>-17.9964420128536</v>
      </c>
      <c r="H202" s="4" t="str">
        <f aca="false">IF(G202&gt;2,"LATE",IF(G202&lt;-13,"EARLY","IN"))</f>
        <v>EARLY</v>
      </c>
      <c r="I202" s="4" t="n">
        <f aca="false">C202-D202</f>
        <v>34</v>
      </c>
    </row>
    <row r="203" customFormat="false" ht="15" hidden="false" customHeight="false" outlineLevel="0" collapsed="false">
      <c r="A203" s="4" t="n">
        <v>5</v>
      </c>
      <c r="B203" s="4" t="n">
        <v>6</v>
      </c>
      <c r="C203" s="4" t="n">
        <v>225</v>
      </c>
      <c r="D203" s="4" t="n">
        <v>202</v>
      </c>
      <c r="E203" s="6" t="n">
        <v>18.6751719397355</v>
      </c>
      <c r="F203" s="6" t="n">
        <f aca="false">D203+E203</f>
        <v>220.675171939735</v>
      </c>
      <c r="G203" s="6" t="n">
        <f aca="false">F203-C203</f>
        <v>-4.32482806026454</v>
      </c>
      <c r="H203" s="4" t="str">
        <f aca="false">IF(G203&gt;2,"LATE",IF(G203&lt;-13,"EARLY","IN"))</f>
        <v>IN</v>
      </c>
      <c r="I203" s="4" t="n">
        <f aca="false">C203-D203</f>
        <v>23</v>
      </c>
    </row>
    <row r="204" customFormat="false" ht="15" hidden="false" customHeight="false" outlineLevel="0" collapsed="false">
      <c r="A204" s="4" t="n">
        <v>5</v>
      </c>
      <c r="B204" s="4" t="n">
        <v>13</v>
      </c>
      <c r="C204" s="4" t="n">
        <v>210</v>
      </c>
      <c r="D204" s="4" t="n">
        <v>189</v>
      </c>
      <c r="E204" s="6" t="n">
        <v>15.082496189192</v>
      </c>
      <c r="F204" s="6" t="n">
        <f aca="false">D204+E204</f>
        <v>204.082496189192</v>
      </c>
      <c r="G204" s="6" t="n">
        <f aca="false">F204-C204</f>
        <v>-5.91750381080803</v>
      </c>
      <c r="H204" s="4" t="str">
        <f aca="false">IF(G204&gt;2,"LATE",IF(G204&lt;-13,"EARLY","IN"))</f>
        <v>IN</v>
      </c>
      <c r="I204" s="4" t="n">
        <f aca="false">C204-D204</f>
        <v>21</v>
      </c>
    </row>
    <row r="205" customFormat="false" ht="15" hidden="false" customHeight="false" outlineLevel="0" collapsed="false">
      <c r="A205" s="4" t="n">
        <v>5</v>
      </c>
      <c r="B205" s="4" t="n">
        <v>14</v>
      </c>
      <c r="C205" s="4" t="n">
        <v>147</v>
      </c>
      <c r="D205" s="4" t="n">
        <v>129</v>
      </c>
      <c r="E205" s="6" t="n">
        <v>10.4233412340641</v>
      </c>
      <c r="F205" s="6" t="n">
        <f aca="false">D205+E205</f>
        <v>139.423341234064</v>
      </c>
      <c r="G205" s="6" t="n">
        <f aca="false">F205-C205</f>
        <v>-7.57665876593589</v>
      </c>
      <c r="H205" s="4" t="str">
        <f aca="false">IF(G205&gt;2,"LATE",IF(G205&lt;-13,"EARLY","IN"))</f>
        <v>IN</v>
      </c>
      <c r="I205" s="4" t="n">
        <f aca="false">C205-D205</f>
        <v>18</v>
      </c>
    </row>
    <row r="206" customFormat="false" ht="15" hidden="false" customHeight="false" outlineLevel="0" collapsed="false">
      <c r="A206" s="4" t="n">
        <v>5</v>
      </c>
      <c r="B206" s="4" t="n">
        <v>21</v>
      </c>
      <c r="C206" s="4" t="n">
        <v>205</v>
      </c>
      <c r="D206" s="4" t="n">
        <v>182</v>
      </c>
      <c r="E206" s="6" t="n">
        <v>17.3755594541834</v>
      </c>
      <c r="F206" s="6" t="n">
        <f aca="false">D206+E206</f>
        <v>199.375559454183</v>
      </c>
      <c r="G206" s="6" t="n">
        <f aca="false">F206-C206</f>
        <v>-5.62444054581658</v>
      </c>
      <c r="H206" s="4" t="str">
        <f aca="false">IF(G206&gt;2,"LATE",IF(G206&lt;-13,"EARLY","IN"))</f>
        <v>IN</v>
      </c>
      <c r="I206" s="4" t="n">
        <f aca="false">C206-D206</f>
        <v>23</v>
      </c>
    </row>
    <row r="207" customFormat="false" ht="15" hidden="false" customHeight="false" outlineLevel="0" collapsed="false">
      <c r="A207" s="4" t="n">
        <v>5</v>
      </c>
      <c r="B207" s="4" t="n">
        <v>24</v>
      </c>
      <c r="C207" s="4" t="n">
        <v>191</v>
      </c>
      <c r="D207" s="4" t="n">
        <v>171</v>
      </c>
      <c r="E207" s="6" t="n">
        <v>15.5850822180342</v>
      </c>
      <c r="F207" s="6" t="n">
        <f aca="false">D207+E207</f>
        <v>186.585082218034</v>
      </c>
      <c r="G207" s="6" t="n">
        <f aca="false">F207-C207</f>
        <v>-4.41491778196584</v>
      </c>
      <c r="H207" s="4" t="str">
        <f aca="false">IF(G207&gt;2,"LATE",IF(G207&lt;-13,"EARLY","IN"))</f>
        <v>IN</v>
      </c>
      <c r="I207" s="4" t="n">
        <f aca="false">C207-D207</f>
        <v>20</v>
      </c>
    </row>
    <row r="208" customFormat="false" ht="15" hidden="false" customHeight="false" outlineLevel="0" collapsed="false">
      <c r="A208" s="4" t="n">
        <v>5</v>
      </c>
      <c r="B208" s="4" t="n">
        <v>27</v>
      </c>
      <c r="C208" s="4" t="n">
        <v>178</v>
      </c>
      <c r="D208" s="4" t="n">
        <v>161</v>
      </c>
      <c r="E208" s="6" t="n">
        <v>13.0309429007028</v>
      </c>
      <c r="F208" s="6" t="n">
        <f aca="false">D208+E208</f>
        <v>174.030942900703</v>
      </c>
      <c r="G208" s="6" t="n">
        <f aca="false">F208-C208</f>
        <v>-3.96905709929723</v>
      </c>
      <c r="H208" s="4" t="str">
        <f aca="false">IF(G208&gt;2,"LATE",IF(G208&lt;-13,"EARLY","IN"))</f>
        <v>IN</v>
      </c>
      <c r="I208" s="4" t="n">
        <f aca="false">C208-D208</f>
        <v>17</v>
      </c>
    </row>
    <row r="209" customFormat="false" ht="15" hidden="false" customHeight="false" outlineLevel="0" collapsed="false">
      <c r="A209" s="4" t="n">
        <v>5</v>
      </c>
      <c r="B209" s="4" t="n">
        <v>30</v>
      </c>
      <c r="C209" s="4" t="n">
        <v>200</v>
      </c>
      <c r="D209" s="4" t="n">
        <v>188</v>
      </c>
      <c r="E209" s="6" t="n">
        <v>11.5641106415924</v>
      </c>
      <c r="F209" s="6" t="n">
        <f aca="false">D209+E209</f>
        <v>199.564110641592</v>
      </c>
      <c r="G209" s="6" t="n">
        <f aca="false">F209-C209</f>
        <v>-0.435889358407621</v>
      </c>
      <c r="H209" s="4" t="str">
        <f aca="false">IF(G209&gt;2,"LATE",IF(G209&lt;-13,"EARLY","IN"))</f>
        <v>IN</v>
      </c>
      <c r="I209" s="4" t="n">
        <f aca="false">C209-D209</f>
        <v>12</v>
      </c>
    </row>
    <row r="210" customFormat="false" ht="15" hidden="false" customHeight="false" outlineLevel="0" collapsed="false">
      <c r="A210" s="4" t="n">
        <v>5</v>
      </c>
      <c r="B210" s="4" t="n">
        <v>33</v>
      </c>
      <c r="C210" s="4" t="n">
        <v>286</v>
      </c>
      <c r="D210" s="4" t="n">
        <v>258</v>
      </c>
      <c r="E210" s="6" t="n">
        <v>16.4622619511135</v>
      </c>
      <c r="F210" s="6" t="n">
        <f aca="false">D210+E210</f>
        <v>274.462261951114</v>
      </c>
      <c r="G210" s="6" t="n">
        <f aca="false">F210-C210</f>
        <v>-11.5377380488865</v>
      </c>
      <c r="H210" s="4" t="str">
        <f aca="false">IF(G210&gt;2,"LATE",IF(G210&lt;-13,"EARLY","IN"))</f>
        <v>IN</v>
      </c>
      <c r="I210" s="4" t="n">
        <f aca="false">C210-D210</f>
        <v>28</v>
      </c>
    </row>
    <row r="211" customFormat="false" ht="15" hidden="false" customHeight="false" outlineLevel="0" collapsed="false">
      <c r="A211" s="4" t="n">
        <v>5</v>
      </c>
      <c r="B211" s="4" t="n">
        <v>35</v>
      </c>
      <c r="C211" s="4" t="n">
        <v>188</v>
      </c>
      <c r="D211" s="4" t="n">
        <v>168</v>
      </c>
      <c r="E211" s="6" t="n">
        <v>13.6511737560395</v>
      </c>
      <c r="F211" s="6" t="n">
        <f aca="false">D211+E211</f>
        <v>181.65117375604</v>
      </c>
      <c r="G211" s="6" t="n">
        <f aca="false">F211-C211</f>
        <v>-6.34882624396045</v>
      </c>
      <c r="H211" s="4" t="str">
        <f aca="false">IF(G211&gt;2,"LATE",IF(G211&lt;-13,"EARLY","IN"))</f>
        <v>IN</v>
      </c>
      <c r="I211" s="4" t="n">
        <f aca="false">C211-D211</f>
        <v>20</v>
      </c>
    </row>
    <row r="212" customFormat="false" ht="15" hidden="false" customHeight="false" outlineLevel="0" collapsed="false">
      <c r="A212" s="4" t="n">
        <v>5</v>
      </c>
      <c r="B212" s="4" t="n">
        <v>38</v>
      </c>
      <c r="C212" s="4" t="n">
        <v>287</v>
      </c>
      <c r="D212" s="4" t="n">
        <v>259</v>
      </c>
      <c r="E212" s="6" t="n">
        <v>18.8874685327892</v>
      </c>
      <c r="F212" s="6" t="n">
        <f aca="false">D212+E212</f>
        <v>277.887468532789</v>
      </c>
      <c r="G212" s="6" t="n">
        <f aca="false">F212-C212</f>
        <v>-9.11253146721083</v>
      </c>
      <c r="H212" s="4" t="str">
        <f aca="false">IF(G212&gt;2,"LATE",IF(G212&lt;-13,"EARLY","IN"))</f>
        <v>IN</v>
      </c>
      <c r="I212" s="4" t="n">
        <f aca="false">C212-D212</f>
        <v>28</v>
      </c>
    </row>
    <row r="213" customFormat="false" ht="15" hidden="false" customHeight="false" outlineLevel="0" collapsed="false">
      <c r="A213" s="4" t="n">
        <v>5</v>
      </c>
      <c r="B213" s="4" t="n">
        <v>50</v>
      </c>
      <c r="C213" s="4" t="n">
        <v>223</v>
      </c>
      <c r="D213" s="4" t="n">
        <v>202</v>
      </c>
      <c r="E213" s="6" t="n">
        <v>13.4755521539596</v>
      </c>
      <c r="F213" s="6" t="n">
        <f aca="false">D213+E213</f>
        <v>215.47555215396</v>
      </c>
      <c r="G213" s="6" t="n">
        <f aca="false">F213-C213</f>
        <v>-7.52444784604043</v>
      </c>
      <c r="H213" s="4" t="str">
        <f aca="false">IF(G213&gt;2,"LATE",IF(G213&lt;-13,"EARLY","IN"))</f>
        <v>IN</v>
      </c>
      <c r="I213" s="4" t="n">
        <f aca="false">C213-D213</f>
        <v>21</v>
      </c>
    </row>
    <row r="214" customFormat="false" ht="15" hidden="false" customHeight="false" outlineLevel="0" collapsed="false">
      <c r="A214" s="4" t="n">
        <v>5</v>
      </c>
      <c r="B214" s="4" t="n">
        <v>62</v>
      </c>
      <c r="C214" s="4" t="n">
        <v>238</v>
      </c>
      <c r="D214" s="4" t="n">
        <v>219</v>
      </c>
      <c r="E214" s="6" t="n">
        <v>11.6529810265196</v>
      </c>
      <c r="F214" s="6" t="n">
        <f aca="false">D214+E214</f>
        <v>230.65298102652</v>
      </c>
      <c r="G214" s="6" t="n">
        <f aca="false">F214-C214</f>
        <v>-7.3470189734804</v>
      </c>
      <c r="H214" s="4" t="str">
        <f aca="false">IF(G214&gt;2,"LATE",IF(G214&lt;-13,"EARLY","IN"))</f>
        <v>IN</v>
      </c>
      <c r="I214" s="4" t="n">
        <f aca="false">C214-D214</f>
        <v>19</v>
      </c>
    </row>
    <row r="215" customFormat="false" ht="15" hidden="false" customHeight="false" outlineLevel="0" collapsed="false">
      <c r="A215" s="4" t="n">
        <v>5</v>
      </c>
      <c r="B215" s="4" t="n">
        <v>63</v>
      </c>
      <c r="C215" s="4" t="n">
        <v>254</v>
      </c>
      <c r="D215" s="4" t="n">
        <v>237</v>
      </c>
      <c r="E215" s="6" t="n">
        <v>14.68635647999</v>
      </c>
      <c r="F215" s="6" t="n">
        <f aca="false">D215+E215</f>
        <v>251.68635647999</v>
      </c>
      <c r="G215" s="6" t="n">
        <f aca="false">F215-C215</f>
        <v>-2.31364352001003</v>
      </c>
      <c r="H215" s="4" t="str">
        <f aca="false">IF(G215&gt;2,"LATE",IF(G215&lt;-13,"EARLY","IN"))</f>
        <v>IN</v>
      </c>
      <c r="I215" s="4" t="n">
        <f aca="false">C215-D215</f>
        <v>17</v>
      </c>
    </row>
    <row r="216" customFormat="false" ht="15" hidden="false" customHeight="false" outlineLevel="0" collapsed="false">
      <c r="A216" s="4" t="n">
        <v>5</v>
      </c>
      <c r="B216" s="4" t="n">
        <v>64</v>
      </c>
      <c r="C216" s="4" t="n">
        <v>154</v>
      </c>
      <c r="D216" s="4" t="n">
        <v>139</v>
      </c>
      <c r="E216" s="6" t="n">
        <v>14.3068943847927</v>
      </c>
      <c r="F216" s="6" t="n">
        <f aca="false">D216+E216</f>
        <v>153.306894384793</v>
      </c>
      <c r="G216" s="6" t="n">
        <f aca="false">F216-C216</f>
        <v>-0.693105615207344</v>
      </c>
      <c r="H216" s="4" t="str">
        <f aca="false">IF(G216&gt;2,"LATE",IF(G216&lt;-13,"EARLY","IN"))</f>
        <v>IN</v>
      </c>
      <c r="I216" s="4" t="n">
        <f aca="false">C216-D216</f>
        <v>15</v>
      </c>
    </row>
    <row r="217" customFormat="false" ht="15" hidden="false" customHeight="false" outlineLevel="0" collapsed="false">
      <c r="A217" s="4" t="n">
        <v>5</v>
      </c>
      <c r="B217" s="4" t="n">
        <v>73</v>
      </c>
      <c r="C217" s="4" t="n">
        <v>249</v>
      </c>
      <c r="D217" s="4" t="n">
        <v>226</v>
      </c>
      <c r="E217" s="6" t="n">
        <v>14.5242934556506</v>
      </c>
      <c r="F217" s="6" t="n">
        <f aca="false">D217+E217</f>
        <v>240.524293455651</v>
      </c>
      <c r="G217" s="6" t="n">
        <f aca="false">F217-C217</f>
        <v>-8.47570654434941</v>
      </c>
      <c r="H217" s="4" t="str">
        <f aca="false">IF(G217&gt;2,"LATE",IF(G217&lt;-13,"EARLY","IN"))</f>
        <v>IN</v>
      </c>
      <c r="I217" s="4" t="n">
        <f aca="false">C217-D217</f>
        <v>23</v>
      </c>
    </row>
    <row r="218" customFormat="false" ht="15" hidden="false" customHeight="false" outlineLevel="0" collapsed="false">
      <c r="A218" s="4" t="n">
        <v>5</v>
      </c>
      <c r="B218" s="4" t="n">
        <v>74</v>
      </c>
      <c r="C218" s="4" t="n">
        <v>192</v>
      </c>
      <c r="D218" s="4" t="n">
        <v>174</v>
      </c>
      <c r="E218" s="6" t="n">
        <v>15.4992748945987</v>
      </c>
      <c r="F218" s="6" t="n">
        <f aca="false">D218+E218</f>
        <v>189.499274894599</v>
      </c>
      <c r="G218" s="6" t="n">
        <f aca="false">F218-C218</f>
        <v>-2.5007251054013</v>
      </c>
      <c r="H218" s="4" t="str">
        <f aca="false">IF(G218&gt;2,"LATE",IF(G218&lt;-13,"EARLY","IN"))</f>
        <v>IN</v>
      </c>
      <c r="I218" s="4" t="n">
        <f aca="false">C218-D218</f>
        <v>18</v>
      </c>
    </row>
    <row r="219" customFormat="false" ht="15" hidden="false" customHeight="false" outlineLevel="0" collapsed="false">
      <c r="A219" s="4" t="n">
        <v>5</v>
      </c>
      <c r="B219" s="4" t="n">
        <v>87</v>
      </c>
      <c r="C219" s="4" t="n">
        <v>177</v>
      </c>
      <c r="D219" s="4" t="n">
        <v>162</v>
      </c>
      <c r="E219" s="6" t="n">
        <v>6.92124862054943</v>
      </c>
      <c r="F219" s="6" t="n">
        <f aca="false">D219+E219</f>
        <v>168.921248620549</v>
      </c>
      <c r="G219" s="6" t="n">
        <f aca="false">F219-C219</f>
        <v>-8.07875137945058</v>
      </c>
      <c r="H219" s="4" t="str">
        <f aca="false">IF(G219&gt;2,"LATE",IF(G219&lt;-13,"EARLY","IN"))</f>
        <v>IN</v>
      </c>
      <c r="I219" s="4" t="n">
        <f aca="false">C219-D219</f>
        <v>15</v>
      </c>
    </row>
    <row r="220" customFormat="false" ht="15" hidden="false" customHeight="false" outlineLevel="0" collapsed="false">
      <c r="A220" s="4" t="n">
        <v>5</v>
      </c>
      <c r="B220" s="4" t="n">
        <v>89</v>
      </c>
      <c r="C220" s="4" t="n">
        <v>225</v>
      </c>
      <c r="D220" s="4" t="n">
        <v>204</v>
      </c>
      <c r="E220" s="6" t="n">
        <v>18.7326751410622</v>
      </c>
      <c r="F220" s="6" t="n">
        <f aca="false">D220+E220</f>
        <v>222.732675141062</v>
      </c>
      <c r="G220" s="6" t="n">
        <f aca="false">F220-C220</f>
        <v>-2.2673248589378</v>
      </c>
      <c r="H220" s="4" t="str">
        <f aca="false">IF(G220&gt;2,"LATE",IF(G220&lt;-13,"EARLY","IN"))</f>
        <v>IN</v>
      </c>
      <c r="I220" s="4" t="n">
        <f aca="false">C220-D220</f>
        <v>21</v>
      </c>
    </row>
    <row r="221" customFormat="false" ht="15" hidden="false" customHeight="false" outlineLevel="0" collapsed="false">
      <c r="A221" s="4" t="n">
        <v>5</v>
      </c>
      <c r="B221" s="4" t="n">
        <v>91</v>
      </c>
      <c r="C221" s="4" t="n">
        <v>199</v>
      </c>
      <c r="D221" s="4" t="n">
        <v>183</v>
      </c>
      <c r="E221" s="6" t="n">
        <v>8.92270442095328</v>
      </c>
      <c r="F221" s="6" t="n">
        <f aca="false">D221+E221</f>
        <v>191.922704420953</v>
      </c>
      <c r="G221" s="6" t="n">
        <f aca="false">F221-C221</f>
        <v>-7.07729557904671</v>
      </c>
      <c r="H221" s="4" t="str">
        <f aca="false">IF(G221&gt;2,"LATE",IF(G221&lt;-13,"EARLY","IN"))</f>
        <v>IN</v>
      </c>
      <c r="I221" s="4" t="n">
        <f aca="false">C221-D221</f>
        <v>16</v>
      </c>
    </row>
    <row r="222" customFormat="false" ht="15" hidden="false" customHeight="false" outlineLevel="0" collapsed="false">
      <c r="A222" s="4" t="n">
        <v>5</v>
      </c>
      <c r="B222" s="4" t="n">
        <v>92</v>
      </c>
      <c r="C222" s="4" t="n">
        <v>207</v>
      </c>
      <c r="D222" s="4" t="n">
        <v>190</v>
      </c>
      <c r="E222" s="6" t="n">
        <v>14.7967829567274</v>
      </c>
      <c r="F222" s="6" t="n">
        <f aca="false">D222+E222</f>
        <v>204.796782956727</v>
      </c>
      <c r="G222" s="6" t="n">
        <f aca="false">F222-C222</f>
        <v>-2.20321704327264</v>
      </c>
      <c r="H222" s="4" t="str">
        <f aca="false">IF(G222&gt;2,"LATE",IF(G222&lt;-13,"EARLY","IN"))</f>
        <v>IN</v>
      </c>
      <c r="I222" s="4" t="n">
        <f aca="false">C222-D222</f>
        <v>17</v>
      </c>
    </row>
    <row r="223" customFormat="false" ht="15" hidden="false" customHeight="false" outlineLevel="0" collapsed="false">
      <c r="A223" s="4" t="n">
        <v>5</v>
      </c>
      <c r="B223" s="4" t="n">
        <v>98</v>
      </c>
      <c r="C223" s="4" t="n">
        <v>206</v>
      </c>
      <c r="D223" s="4" t="n">
        <v>193</v>
      </c>
      <c r="E223" s="6" t="n">
        <v>17.8977173310188</v>
      </c>
      <c r="F223" s="6" t="n">
        <f aca="false">D223+E223</f>
        <v>210.897717331019</v>
      </c>
      <c r="G223" s="6" t="n">
        <f aca="false">F223-C223</f>
        <v>4.89771733101875</v>
      </c>
      <c r="H223" s="4" t="str">
        <f aca="false">IF(G223&gt;2,"LATE",IF(G223&lt;-13,"EARLY","IN"))</f>
        <v>LATE</v>
      </c>
      <c r="I223" s="4" t="n">
        <f aca="false">C223-D223</f>
        <v>13</v>
      </c>
    </row>
    <row r="224" customFormat="false" ht="15" hidden="false" customHeight="false" outlineLevel="0" collapsed="false">
      <c r="A224" s="4" t="n">
        <v>5</v>
      </c>
      <c r="B224" s="4" t="n">
        <v>101</v>
      </c>
      <c r="C224" s="4" t="n">
        <v>226</v>
      </c>
      <c r="D224" s="4" t="n">
        <v>207</v>
      </c>
      <c r="E224" s="6" t="n">
        <v>13.8499159666767</v>
      </c>
      <c r="F224" s="6" t="n">
        <f aca="false">D224+E224</f>
        <v>220.849915966677</v>
      </c>
      <c r="G224" s="6" t="n">
        <f aca="false">F224-C224</f>
        <v>-5.15008403332328</v>
      </c>
      <c r="H224" s="4" t="str">
        <f aca="false">IF(G224&gt;2,"LATE",IF(G224&lt;-13,"EARLY","IN"))</f>
        <v>IN</v>
      </c>
      <c r="I224" s="4" t="n">
        <f aca="false">C224-D224</f>
        <v>19</v>
      </c>
    </row>
    <row r="225" customFormat="false" ht="15" hidden="false" customHeight="false" outlineLevel="0" collapsed="false">
      <c r="A225" s="4" t="n">
        <v>5</v>
      </c>
      <c r="B225" s="4" t="n">
        <v>104</v>
      </c>
      <c r="C225" s="4" t="n">
        <v>178</v>
      </c>
      <c r="D225" s="4" t="n">
        <v>157</v>
      </c>
      <c r="E225" s="6" t="n">
        <v>17.3780418497391</v>
      </c>
      <c r="F225" s="6" t="n">
        <f aca="false">D225+E225</f>
        <v>174.378041849739</v>
      </c>
      <c r="G225" s="6" t="n">
        <f aca="false">F225-C225</f>
        <v>-3.62195815026089</v>
      </c>
      <c r="H225" s="4" t="str">
        <f aca="false">IF(G225&gt;2,"LATE",IF(G225&lt;-13,"EARLY","IN"))</f>
        <v>IN</v>
      </c>
      <c r="I225" s="4" t="n">
        <f aca="false">C225-D225</f>
        <v>21</v>
      </c>
    </row>
    <row r="226" customFormat="false" ht="15" hidden="false" customHeight="false" outlineLevel="0" collapsed="false">
      <c r="A226" s="4" t="n">
        <v>5</v>
      </c>
      <c r="B226" s="4" t="n">
        <v>108</v>
      </c>
      <c r="C226" s="4" t="n">
        <v>230</v>
      </c>
      <c r="D226" s="4" t="n">
        <v>209</v>
      </c>
      <c r="E226" s="6" t="n">
        <v>15.6919730489075</v>
      </c>
      <c r="F226" s="6" t="n">
        <f aca="false">D226+E226</f>
        <v>224.691973048908</v>
      </c>
      <c r="G226" s="6" t="n">
        <f aca="false">F226-C226</f>
        <v>-5.30802695109247</v>
      </c>
      <c r="H226" s="4" t="str">
        <f aca="false">IF(G226&gt;2,"LATE",IF(G226&lt;-13,"EARLY","IN"))</f>
        <v>IN</v>
      </c>
      <c r="I226" s="4" t="n">
        <f aca="false">C226-D226</f>
        <v>21</v>
      </c>
    </row>
    <row r="227" customFormat="false" ht="15" hidden="false" customHeight="false" outlineLevel="0" collapsed="false">
      <c r="A227" s="4" t="n">
        <v>5</v>
      </c>
      <c r="B227" s="4" t="n">
        <v>113</v>
      </c>
      <c r="C227" s="4" t="n">
        <v>160</v>
      </c>
      <c r="D227" s="4" t="n">
        <v>139</v>
      </c>
      <c r="E227" s="6" t="n">
        <v>17.3948443227481</v>
      </c>
      <c r="F227" s="6" t="n">
        <f aca="false">D227+E227</f>
        <v>156.394844322748</v>
      </c>
      <c r="G227" s="6" t="n">
        <f aca="false">F227-C227</f>
        <v>-3.60515567725187</v>
      </c>
      <c r="H227" s="4" t="str">
        <f aca="false">IF(G227&gt;2,"LATE",IF(G227&lt;-13,"EARLY","IN"))</f>
        <v>IN</v>
      </c>
      <c r="I227" s="4" t="n">
        <f aca="false">C227-D227</f>
        <v>21</v>
      </c>
    </row>
    <row r="228" customFormat="false" ht="15" hidden="false" customHeight="false" outlineLevel="0" collapsed="false">
      <c r="A228" s="4" t="n">
        <v>5</v>
      </c>
      <c r="B228" s="4" t="n">
        <v>120</v>
      </c>
      <c r="C228" s="4" t="n">
        <v>170</v>
      </c>
      <c r="D228" s="4" t="n">
        <v>151</v>
      </c>
      <c r="E228" s="6" t="n">
        <v>13.0942634376056</v>
      </c>
      <c r="F228" s="6" t="n">
        <f aca="false">D228+E228</f>
        <v>164.094263437606</v>
      </c>
      <c r="G228" s="6" t="n">
        <f aca="false">F228-C228</f>
        <v>-5.90573656239445</v>
      </c>
      <c r="H228" s="4" t="str">
        <f aca="false">IF(G228&gt;2,"LATE",IF(G228&lt;-13,"EARLY","IN"))</f>
        <v>IN</v>
      </c>
      <c r="I228" s="4" t="n">
        <f aca="false">C228-D228</f>
        <v>19</v>
      </c>
    </row>
    <row r="229" customFormat="false" ht="15" hidden="false" customHeight="false" outlineLevel="0" collapsed="false">
      <c r="A229" s="4" t="n">
        <v>5</v>
      </c>
      <c r="B229" s="4" t="n">
        <v>126</v>
      </c>
      <c r="C229" s="4" t="n">
        <v>241</v>
      </c>
      <c r="D229" s="4" t="n">
        <v>224</v>
      </c>
      <c r="E229" s="6" t="n">
        <v>15.6863642317792</v>
      </c>
      <c r="F229" s="6" t="n">
        <f aca="false">D229+E229</f>
        <v>239.686364231779</v>
      </c>
      <c r="G229" s="6" t="n">
        <f aca="false">F229-C229</f>
        <v>-1.31363576822082</v>
      </c>
      <c r="H229" s="4" t="str">
        <f aca="false">IF(G229&gt;2,"LATE",IF(G229&lt;-13,"EARLY","IN"))</f>
        <v>IN</v>
      </c>
      <c r="I229" s="4" t="n">
        <f aca="false">C229-D229</f>
        <v>17</v>
      </c>
    </row>
    <row r="230" customFormat="false" ht="15" hidden="false" customHeight="false" outlineLevel="0" collapsed="false">
      <c r="A230" s="4" t="n">
        <v>5</v>
      </c>
      <c r="B230" s="4" t="n">
        <v>130</v>
      </c>
      <c r="C230" s="4" t="n">
        <v>143</v>
      </c>
      <c r="D230" s="4" t="n">
        <v>132</v>
      </c>
      <c r="E230" s="6" t="n">
        <v>9.04730165181625</v>
      </c>
      <c r="F230" s="6" t="n">
        <f aca="false">D230+E230</f>
        <v>141.047301651816</v>
      </c>
      <c r="G230" s="6" t="n">
        <f aca="false">F230-C230</f>
        <v>-1.95269834818376</v>
      </c>
      <c r="H230" s="4" t="str">
        <f aca="false">IF(G230&gt;2,"LATE",IF(G230&lt;-13,"EARLY","IN"))</f>
        <v>IN</v>
      </c>
      <c r="I230" s="4" t="n">
        <f aca="false">C230-D230</f>
        <v>11</v>
      </c>
    </row>
    <row r="231" customFormat="false" ht="15" hidden="false" customHeight="false" outlineLevel="0" collapsed="false">
      <c r="A231" s="4" t="n">
        <v>5</v>
      </c>
      <c r="B231" s="4" t="n">
        <v>133</v>
      </c>
      <c r="C231" s="4" t="n">
        <v>151</v>
      </c>
      <c r="D231" s="4" t="n">
        <v>132</v>
      </c>
      <c r="E231" s="6" t="n">
        <v>14.1119877864307</v>
      </c>
      <c r="F231" s="6" t="n">
        <f aca="false">D231+E231</f>
        <v>146.111987786431</v>
      </c>
      <c r="G231" s="6" t="n">
        <f aca="false">F231-C231</f>
        <v>-4.88801221356925</v>
      </c>
      <c r="H231" s="4" t="str">
        <f aca="false">IF(G231&gt;2,"LATE",IF(G231&lt;-13,"EARLY","IN"))</f>
        <v>IN</v>
      </c>
      <c r="I231" s="4" t="n">
        <f aca="false">C231-D231</f>
        <v>19</v>
      </c>
    </row>
    <row r="232" customFormat="false" ht="15" hidden="false" customHeight="false" outlineLevel="0" collapsed="false">
      <c r="A232" s="4" t="n">
        <v>5</v>
      </c>
      <c r="B232" s="4" t="n">
        <v>134</v>
      </c>
      <c r="C232" s="4" t="n">
        <v>173</v>
      </c>
      <c r="D232" s="4" t="n">
        <v>153</v>
      </c>
      <c r="E232" s="6" t="n">
        <v>11.8016488856036</v>
      </c>
      <c r="F232" s="6" t="n">
        <f aca="false">D232+E232</f>
        <v>164.801648885604</v>
      </c>
      <c r="G232" s="6" t="n">
        <f aca="false">F232-C232</f>
        <v>-8.19835111439636</v>
      </c>
      <c r="H232" s="4" t="str">
        <f aca="false">IF(G232&gt;2,"LATE",IF(G232&lt;-13,"EARLY","IN"))</f>
        <v>IN</v>
      </c>
      <c r="I232" s="4" t="n">
        <f aca="false">C232-D232</f>
        <v>20</v>
      </c>
    </row>
    <row r="233" customFormat="false" ht="15" hidden="false" customHeight="false" outlineLevel="0" collapsed="false">
      <c r="A233" s="4" t="n">
        <v>5</v>
      </c>
      <c r="B233" s="4" t="n">
        <v>142</v>
      </c>
      <c r="C233" s="4" t="n">
        <v>215</v>
      </c>
      <c r="D233" s="4" t="n">
        <v>197</v>
      </c>
      <c r="E233" s="6" t="n">
        <v>13.7686352442795</v>
      </c>
      <c r="F233" s="6" t="n">
        <f aca="false">D233+E233</f>
        <v>210.768635244279</v>
      </c>
      <c r="G233" s="6" t="n">
        <f aca="false">F233-C233</f>
        <v>-4.23136475572053</v>
      </c>
      <c r="H233" s="4" t="str">
        <f aca="false">IF(G233&gt;2,"LATE",IF(G233&lt;-13,"EARLY","IN"))</f>
        <v>IN</v>
      </c>
      <c r="I233" s="4" t="n">
        <f aca="false">C233-D233</f>
        <v>18</v>
      </c>
    </row>
    <row r="234" customFormat="false" ht="15" hidden="false" customHeight="false" outlineLevel="0" collapsed="false">
      <c r="A234" s="4" t="n">
        <v>5</v>
      </c>
      <c r="B234" s="4" t="n">
        <v>149</v>
      </c>
      <c r="C234" s="4" t="n">
        <v>192</v>
      </c>
      <c r="D234" s="4" t="n">
        <v>168</v>
      </c>
      <c r="E234" s="6" t="n">
        <v>17.1570753704345</v>
      </c>
      <c r="F234" s="6" t="n">
        <f aca="false">D234+E234</f>
        <v>185.157075370435</v>
      </c>
      <c r="G234" s="6" t="n">
        <f aca="false">F234-C234</f>
        <v>-6.84292462956549</v>
      </c>
      <c r="H234" s="4" t="str">
        <f aca="false">IF(G234&gt;2,"LATE",IF(G234&lt;-13,"EARLY","IN"))</f>
        <v>IN</v>
      </c>
      <c r="I234" s="4" t="n">
        <f aca="false">C234-D234</f>
        <v>24</v>
      </c>
    </row>
    <row r="235" customFormat="false" ht="15" hidden="false" customHeight="false" outlineLevel="0" collapsed="false">
      <c r="A235" s="4" t="n">
        <v>5</v>
      </c>
      <c r="B235" s="4" t="n">
        <v>151</v>
      </c>
      <c r="C235" s="4" t="n">
        <v>317</v>
      </c>
      <c r="D235" s="4" t="n">
        <v>294</v>
      </c>
      <c r="E235" s="6" t="n">
        <v>12.0266229969954</v>
      </c>
      <c r="F235" s="6" t="n">
        <f aca="false">D235+E235</f>
        <v>306.026622996995</v>
      </c>
      <c r="G235" s="6" t="n">
        <f aca="false">F235-C235</f>
        <v>-10.9733770030045</v>
      </c>
      <c r="H235" s="4" t="str">
        <f aca="false">IF(G235&gt;2,"LATE",IF(G235&lt;-13,"EARLY","IN"))</f>
        <v>IN</v>
      </c>
      <c r="I235" s="4" t="n">
        <f aca="false">C235-D235</f>
        <v>23</v>
      </c>
    </row>
    <row r="236" customFormat="false" ht="15" hidden="false" customHeight="false" outlineLevel="0" collapsed="false">
      <c r="A236" s="4" t="n">
        <v>5</v>
      </c>
      <c r="B236" s="4" t="n">
        <v>152</v>
      </c>
      <c r="C236" s="4" t="n">
        <v>213</v>
      </c>
      <c r="D236" s="4" t="n">
        <v>194</v>
      </c>
      <c r="E236" s="6" t="n">
        <v>13.114162285684</v>
      </c>
      <c r="F236" s="6" t="n">
        <f aca="false">D236+E236</f>
        <v>207.114162285684</v>
      </c>
      <c r="G236" s="6" t="n">
        <f aca="false">F236-C236</f>
        <v>-5.88583771431595</v>
      </c>
      <c r="H236" s="4" t="str">
        <f aca="false">IF(G236&gt;2,"LATE",IF(G236&lt;-13,"EARLY","IN"))</f>
        <v>IN</v>
      </c>
      <c r="I236" s="4" t="n">
        <f aca="false">C236-D236</f>
        <v>19</v>
      </c>
    </row>
    <row r="237" customFormat="false" ht="15" hidden="false" customHeight="false" outlineLevel="0" collapsed="false">
      <c r="A237" s="4" t="n">
        <v>5</v>
      </c>
      <c r="B237" s="4" t="n">
        <v>156</v>
      </c>
      <c r="C237" s="4" t="n">
        <v>228</v>
      </c>
      <c r="D237" s="4" t="n">
        <v>210</v>
      </c>
      <c r="E237" s="6" t="n">
        <v>14.2824852077133</v>
      </c>
      <c r="F237" s="6" t="n">
        <f aca="false">D237+E237</f>
        <v>224.282485207713</v>
      </c>
      <c r="G237" s="6" t="n">
        <f aca="false">F237-C237</f>
        <v>-3.71751479228669</v>
      </c>
      <c r="H237" s="4" t="str">
        <f aca="false">IF(G237&gt;2,"LATE",IF(G237&lt;-13,"EARLY","IN"))</f>
        <v>IN</v>
      </c>
      <c r="I237" s="4" t="n">
        <f aca="false">C237-D237</f>
        <v>18</v>
      </c>
    </row>
    <row r="238" customFormat="false" ht="15" hidden="false" customHeight="false" outlineLevel="0" collapsed="false">
      <c r="A238" s="4" t="n">
        <v>5</v>
      </c>
      <c r="B238" s="4" t="n">
        <v>161</v>
      </c>
      <c r="C238" s="4" t="n">
        <v>184</v>
      </c>
      <c r="D238" s="4" t="n">
        <v>167</v>
      </c>
      <c r="E238" s="6" t="n">
        <v>11.3475831753132</v>
      </c>
      <c r="F238" s="6" t="n">
        <f aca="false">D238+E238</f>
        <v>178.347583175313</v>
      </c>
      <c r="G238" s="6" t="n">
        <f aca="false">F238-C238</f>
        <v>-5.65241682468678</v>
      </c>
      <c r="H238" s="4" t="str">
        <f aca="false">IF(G238&gt;2,"LATE",IF(G238&lt;-13,"EARLY","IN"))</f>
        <v>IN</v>
      </c>
      <c r="I238" s="4" t="n">
        <f aca="false">C238-D238</f>
        <v>17</v>
      </c>
    </row>
    <row r="239" customFormat="false" ht="15" hidden="false" customHeight="false" outlineLevel="0" collapsed="false">
      <c r="A239" s="4" t="n">
        <v>5</v>
      </c>
      <c r="B239" s="4" t="n">
        <v>163</v>
      </c>
      <c r="C239" s="4" t="n">
        <v>177</v>
      </c>
      <c r="D239" s="4" t="n">
        <v>169</v>
      </c>
      <c r="E239" s="6" t="n">
        <v>3.07404893054764</v>
      </c>
      <c r="F239" s="6" t="n">
        <f aca="false">D239+E239</f>
        <v>172.074048930548</v>
      </c>
      <c r="G239" s="6" t="n">
        <f aca="false">F239-C239</f>
        <v>-4.92595106945237</v>
      </c>
      <c r="H239" s="4" t="str">
        <f aca="false">IF(G239&gt;2,"LATE",IF(G239&lt;-13,"EARLY","IN"))</f>
        <v>IN</v>
      </c>
      <c r="I239" s="4" t="n">
        <f aca="false">C239-D239</f>
        <v>8</v>
      </c>
    </row>
    <row r="240" customFormat="false" ht="15" hidden="false" customHeight="false" outlineLevel="0" collapsed="false">
      <c r="A240" s="4" t="n">
        <v>5</v>
      </c>
      <c r="B240" s="4" t="n">
        <v>164</v>
      </c>
      <c r="C240" s="4" t="n">
        <v>211</v>
      </c>
      <c r="D240" s="4" t="n">
        <v>193</v>
      </c>
      <c r="E240" s="6" t="n">
        <v>12.7570292846422</v>
      </c>
      <c r="F240" s="6" t="n">
        <f aca="false">D240+E240</f>
        <v>205.757029284642</v>
      </c>
      <c r="G240" s="6" t="n">
        <f aca="false">F240-C240</f>
        <v>-5.24297071535776</v>
      </c>
      <c r="H240" s="4" t="str">
        <f aca="false">IF(G240&gt;2,"LATE",IF(G240&lt;-13,"EARLY","IN"))</f>
        <v>IN</v>
      </c>
      <c r="I240" s="4" t="n">
        <f aca="false">C240-D240</f>
        <v>18</v>
      </c>
    </row>
    <row r="241" customFormat="false" ht="15" hidden="false" customHeight="false" outlineLevel="0" collapsed="false">
      <c r="A241" s="4" t="n">
        <v>5</v>
      </c>
      <c r="B241" s="4" t="n">
        <v>172</v>
      </c>
      <c r="C241" s="4" t="n">
        <v>222</v>
      </c>
      <c r="D241" s="4" t="n">
        <v>206</v>
      </c>
      <c r="E241" s="6" t="n">
        <v>15.3117221471715</v>
      </c>
      <c r="F241" s="6" t="n">
        <f aca="false">D241+E241</f>
        <v>221.311722147172</v>
      </c>
      <c r="G241" s="6" t="n">
        <f aca="false">F241-C241</f>
        <v>-0.688277852828492</v>
      </c>
      <c r="H241" s="4" t="str">
        <f aca="false">IF(G241&gt;2,"LATE",IF(G241&lt;-13,"EARLY","IN"))</f>
        <v>IN</v>
      </c>
      <c r="I241" s="4" t="n">
        <f aca="false">C241-D241</f>
        <v>16</v>
      </c>
    </row>
    <row r="242" customFormat="false" ht="15" hidden="false" customHeight="false" outlineLevel="0" collapsed="false">
      <c r="A242" s="4" t="n">
        <v>5</v>
      </c>
      <c r="B242" s="4" t="n">
        <v>174</v>
      </c>
      <c r="C242" s="4" t="n">
        <v>178</v>
      </c>
      <c r="D242" s="4" t="n">
        <v>164</v>
      </c>
      <c r="E242" s="6" t="n">
        <v>17.8385108444156</v>
      </c>
      <c r="F242" s="6" t="n">
        <f aca="false">D242+E242</f>
        <v>181.838510844416</v>
      </c>
      <c r="G242" s="6" t="n">
        <f aca="false">F242-C242</f>
        <v>3.83851084441565</v>
      </c>
      <c r="H242" s="4" t="str">
        <f aca="false">IF(G242&gt;2,"LATE",IF(G242&lt;-13,"EARLY","IN"))</f>
        <v>LATE</v>
      </c>
      <c r="I242" s="4" t="n">
        <f aca="false">C242-D242</f>
        <v>14</v>
      </c>
    </row>
    <row r="243" customFormat="false" ht="15" hidden="false" customHeight="false" outlineLevel="0" collapsed="false">
      <c r="A243" s="4" t="n">
        <v>5</v>
      </c>
      <c r="B243" s="4" t="n">
        <v>176</v>
      </c>
      <c r="C243" s="4" t="n">
        <v>197</v>
      </c>
      <c r="D243" s="4" t="n">
        <v>172</v>
      </c>
      <c r="E243" s="6" t="n">
        <v>17.381091335216</v>
      </c>
      <c r="F243" s="6" t="n">
        <f aca="false">D243+E243</f>
        <v>189.381091335216</v>
      </c>
      <c r="G243" s="6" t="n">
        <f aca="false">F243-C243</f>
        <v>-7.61890866478404</v>
      </c>
      <c r="H243" s="4" t="str">
        <f aca="false">IF(G243&gt;2,"LATE",IF(G243&lt;-13,"EARLY","IN"))</f>
        <v>IN</v>
      </c>
      <c r="I243" s="4" t="n">
        <f aca="false">C243-D243</f>
        <v>25</v>
      </c>
    </row>
    <row r="244" customFormat="false" ht="15" hidden="false" customHeight="false" outlineLevel="0" collapsed="false">
      <c r="A244" s="4" t="n">
        <v>5</v>
      </c>
      <c r="B244" s="4" t="n">
        <v>178</v>
      </c>
      <c r="C244" s="4" t="n">
        <v>255</v>
      </c>
      <c r="D244" s="4" t="n">
        <v>234</v>
      </c>
      <c r="E244" s="6" t="n">
        <v>17.2377256253037</v>
      </c>
      <c r="F244" s="6" t="n">
        <f aca="false">D244+E244</f>
        <v>251.237725625304</v>
      </c>
      <c r="G244" s="6" t="n">
        <f aca="false">F244-C244</f>
        <v>-3.76227437469635</v>
      </c>
      <c r="H244" s="4" t="str">
        <f aca="false">IF(G244&gt;2,"LATE",IF(G244&lt;-13,"EARLY","IN"))</f>
        <v>IN</v>
      </c>
      <c r="I244" s="4" t="n">
        <f aca="false">C244-D244</f>
        <v>21</v>
      </c>
    </row>
    <row r="245" customFormat="false" ht="15" hidden="false" customHeight="false" outlineLevel="0" collapsed="false">
      <c r="A245" s="4" t="n">
        <v>5</v>
      </c>
      <c r="B245" s="4" t="n">
        <v>180</v>
      </c>
      <c r="C245" s="4" t="n">
        <v>200</v>
      </c>
      <c r="D245" s="4" t="n">
        <v>181</v>
      </c>
      <c r="E245" s="6" t="n">
        <v>12.0268350556888</v>
      </c>
      <c r="F245" s="6" t="n">
        <f aca="false">D245+E245</f>
        <v>193.026835055689</v>
      </c>
      <c r="G245" s="6" t="n">
        <f aca="false">F245-C245</f>
        <v>-6.97316494431118</v>
      </c>
      <c r="H245" s="4" t="str">
        <f aca="false">IF(G245&gt;2,"LATE",IF(G245&lt;-13,"EARLY","IN"))</f>
        <v>IN</v>
      </c>
      <c r="I245" s="4" t="n">
        <f aca="false">C245-D245</f>
        <v>19</v>
      </c>
    </row>
    <row r="246" customFormat="false" ht="15" hidden="false" customHeight="false" outlineLevel="0" collapsed="false">
      <c r="A246" s="4" t="n">
        <v>5</v>
      </c>
      <c r="B246" s="4" t="n">
        <v>184</v>
      </c>
      <c r="C246" s="4" t="n">
        <v>160</v>
      </c>
      <c r="D246" s="4" t="n">
        <v>143</v>
      </c>
      <c r="E246" s="6" t="n">
        <v>12.6772807742142</v>
      </c>
      <c r="F246" s="6" t="n">
        <f aca="false">D246+E246</f>
        <v>155.677280774214</v>
      </c>
      <c r="G246" s="6" t="n">
        <f aca="false">F246-C246</f>
        <v>-4.32271922578585</v>
      </c>
      <c r="H246" s="4" t="str">
        <f aca="false">IF(G246&gt;2,"LATE",IF(G246&lt;-13,"EARLY","IN"))</f>
        <v>IN</v>
      </c>
      <c r="I246" s="4" t="n">
        <f aca="false">C246-D246</f>
        <v>17</v>
      </c>
    </row>
    <row r="247" customFormat="false" ht="15" hidden="false" customHeight="false" outlineLevel="0" collapsed="false">
      <c r="A247" s="4" t="n">
        <v>5</v>
      </c>
      <c r="B247" s="4" t="n">
        <v>186</v>
      </c>
      <c r="C247" s="4" t="n">
        <v>236</v>
      </c>
      <c r="D247" s="4" t="n">
        <v>215</v>
      </c>
      <c r="E247" s="6" t="n">
        <v>11.4467615691597</v>
      </c>
      <c r="F247" s="6" t="n">
        <f aca="false">D247+E247</f>
        <v>226.44676156916</v>
      </c>
      <c r="G247" s="6" t="n">
        <f aca="false">F247-C247</f>
        <v>-9.55323843084028</v>
      </c>
      <c r="H247" s="4" t="str">
        <f aca="false">IF(G247&gt;2,"LATE",IF(G247&lt;-13,"EARLY","IN"))</f>
        <v>IN</v>
      </c>
      <c r="I247" s="4" t="n">
        <f aca="false">C247-D247</f>
        <v>21</v>
      </c>
    </row>
    <row r="248" customFormat="false" ht="15" hidden="false" customHeight="false" outlineLevel="0" collapsed="false">
      <c r="A248" s="4" t="n">
        <v>5</v>
      </c>
      <c r="B248" s="4" t="n">
        <v>191</v>
      </c>
      <c r="C248" s="4" t="n">
        <v>255</v>
      </c>
      <c r="D248" s="4" t="n">
        <v>230</v>
      </c>
      <c r="E248" s="6" t="n">
        <v>14.687479254679</v>
      </c>
      <c r="F248" s="6" t="n">
        <f aca="false">D248+E248</f>
        <v>244.687479254679</v>
      </c>
      <c r="G248" s="6" t="n">
        <f aca="false">F248-C248</f>
        <v>-10.312520745321</v>
      </c>
      <c r="H248" s="4" t="str">
        <f aca="false">IF(G248&gt;2,"LATE",IF(G248&lt;-13,"EARLY","IN"))</f>
        <v>IN</v>
      </c>
      <c r="I248" s="4" t="n">
        <f aca="false">C248-D248</f>
        <v>25</v>
      </c>
    </row>
    <row r="249" customFormat="false" ht="15" hidden="false" customHeight="false" outlineLevel="0" collapsed="false">
      <c r="A249" s="4" t="n">
        <v>5</v>
      </c>
      <c r="B249" s="4" t="n">
        <v>197</v>
      </c>
      <c r="C249" s="4" t="n">
        <v>157</v>
      </c>
      <c r="D249" s="4" t="n">
        <v>141</v>
      </c>
      <c r="E249" s="6" t="n">
        <v>13.407529363016</v>
      </c>
      <c r="F249" s="6" t="n">
        <f aca="false">D249+E249</f>
        <v>154.407529363016</v>
      </c>
      <c r="G249" s="6" t="n">
        <f aca="false">F249-C249</f>
        <v>-2.59247063698405</v>
      </c>
      <c r="H249" s="4" t="str">
        <f aca="false">IF(G249&gt;2,"LATE",IF(G249&lt;-13,"EARLY","IN"))</f>
        <v>IN</v>
      </c>
      <c r="I249" s="4" t="n">
        <f aca="false">C249-D249</f>
        <v>16</v>
      </c>
    </row>
    <row r="250" customFormat="false" ht="15" hidden="false" customHeight="false" outlineLevel="0" collapsed="false">
      <c r="A250" s="4" t="n">
        <v>5</v>
      </c>
      <c r="B250" s="4" t="n">
        <v>203</v>
      </c>
      <c r="C250" s="4" t="n">
        <v>225</v>
      </c>
      <c r="D250" s="4" t="n">
        <v>201</v>
      </c>
      <c r="E250" s="6" t="n">
        <v>17.1666873562801</v>
      </c>
      <c r="F250" s="6" t="n">
        <f aca="false">D250+E250</f>
        <v>218.16668735628</v>
      </c>
      <c r="G250" s="6" t="n">
        <f aca="false">F250-C250</f>
        <v>-6.83331264371989</v>
      </c>
      <c r="H250" s="4" t="str">
        <f aca="false">IF(G250&gt;2,"LATE",IF(G250&lt;-13,"EARLY","IN"))</f>
        <v>IN</v>
      </c>
      <c r="I250" s="4" t="n">
        <f aca="false">C250-D250</f>
        <v>24</v>
      </c>
    </row>
    <row r="251" customFormat="false" ht="15" hidden="false" customHeight="false" outlineLevel="0" collapsed="false">
      <c r="A251" s="4" t="n">
        <v>5</v>
      </c>
      <c r="B251" s="4" t="n">
        <v>208</v>
      </c>
      <c r="C251" s="4" t="n">
        <v>199</v>
      </c>
      <c r="D251" s="4" t="n">
        <v>179</v>
      </c>
      <c r="E251" s="6" t="n">
        <v>14.8848252955553</v>
      </c>
      <c r="F251" s="6" t="n">
        <f aca="false">D251+E251</f>
        <v>193.884825295555</v>
      </c>
      <c r="G251" s="6" t="n">
        <f aca="false">F251-C251</f>
        <v>-5.11517470444474</v>
      </c>
      <c r="H251" s="4" t="str">
        <f aca="false">IF(G251&gt;2,"LATE",IF(G251&lt;-13,"EARLY","IN"))</f>
        <v>IN</v>
      </c>
      <c r="I251" s="4" t="n">
        <f aca="false">C251-D251</f>
        <v>20</v>
      </c>
    </row>
    <row r="252" customFormat="false" ht="15" hidden="false" customHeight="false" outlineLevel="0" collapsed="false">
      <c r="A252" s="4" t="n">
        <v>6</v>
      </c>
      <c r="B252" s="4" t="n">
        <v>2</v>
      </c>
      <c r="C252" s="4" t="n">
        <v>164</v>
      </c>
      <c r="D252" s="4" t="n">
        <v>146</v>
      </c>
      <c r="E252" s="6" t="n">
        <v>14.0532041132285</v>
      </c>
      <c r="F252" s="6" t="n">
        <f aca="false">D252+E252</f>
        <v>160.053204113229</v>
      </c>
      <c r="G252" s="6" t="n">
        <f aca="false">F252-C252</f>
        <v>-3.94679588677147</v>
      </c>
      <c r="H252" s="4" t="str">
        <f aca="false">IF(G252&gt;2,"LATE",IF(G252&lt;-13,"EARLY","IN"))</f>
        <v>IN</v>
      </c>
      <c r="I252" s="4" t="n">
        <f aca="false">C252-D252</f>
        <v>18</v>
      </c>
    </row>
    <row r="253" customFormat="false" ht="15" hidden="false" customHeight="false" outlineLevel="0" collapsed="false">
      <c r="A253" s="4" t="n">
        <v>6</v>
      </c>
      <c r="B253" s="4" t="n">
        <v>4</v>
      </c>
      <c r="C253" s="4" t="n">
        <v>159</v>
      </c>
      <c r="D253" s="4" t="n">
        <v>137</v>
      </c>
      <c r="E253" s="6" t="n">
        <v>13.5732941430907</v>
      </c>
      <c r="F253" s="6" t="n">
        <f aca="false">D253+E253</f>
        <v>150.573294143091</v>
      </c>
      <c r="G253" s="6" t="n">
        <f aca="false">F253-C253</f>
        <v>-8.42670585690928</v>
      </c>
      <c r="H253" s="4" t="str">
        <f aca="false">IF(G253&gt;2,"LATE",IF(G253&lt;-13,"EARLY","IN"))</f>
        <v>IN</v>
      </c>
      <c r="I253" s="4" t="n">
        <f aca="false">C253-D253</f>
        <v>22</v>
      </c>
    </row>
    <row r="254" customFormat="false" ht="15" hidden="false" customHeight="false" outlineLevel="0" collapsed="false">
      <c r="A254" s="4" t="n">
        <v>6</v>
      </c>
      <c r="B254" s="4" t="n">
        <v>10</v>
      </c>
      <c r="C254" s="4" t="n">
        <v>228</v>
      </c>
      <c r="D254" s="4" t="n">
        <v>213</v>
      </c>
      <c r="E254" s="6" t="n">
        <v>11.4657187215399</v>
      </c>
      <c r="F254" s="6" t="n">
        <f aca="false">D254+E254</f>
        <v>224.46571872154</v>
      </c>
      <c r="G254" s="6" t="n">
        <f aca="false">F254-C254</f>
        <v>-3.53428127846007</v>
      </c>
      <c r="H254" s="4" t="str">
        <f aca="false">IF(G254&gt;2,"LATE",IF(G254&lt;-13,"EARLY","IN"))</f>
        <v>IN</v>
      </c>
      <c r="I254" s="4" t="n">
        <f aca="false">C254-D254</f>
        <v>15</v>
      </c>
    </row>
    <row r="255" customFormat="false" ht="15" hidden="false" customHeight="false" outlineLevel="0" collapsed="false">
      <c r="A255" s="4" t="n">
        <v>6</v>
      </c>
      <c r="B255" s="4" t="n">
        <v>17</v>
      </c>
      <c r="C255" s="4" t="n">
        <v>228</v>
      </c>
      <c r="D255" s="4" t="n">
        <v>202</v>
      </c>
      <c r="E255" s="6" t="n">
        <v>19.0087379944295</v>
      </c>
      <c r="F255" s="6" t="n">
        <f aca="false">D255+E255</f>
        <v>221.008737994429</v>
      </c>
      <c r="G255" s="6" t="n">
        <f aca="false">F255-C255</f>
        <v>-6.99126200557055</v>
      </c>
      <c r="H255" s="4" t="str">
        <f aca="false">IF(G255&gt;2,"LATE",IF(G255&lt;-13,"EARLY","IN"))</f>
        <v>IN</v>
      </c>
      <c r="I255" s="4" t="n">
        <f aca="false">C255-D255</f>
        <v>26</v>
      </c>
    </row>
    <row r="256" customFormat="false" ht="15" hidden="false" customHeight="false" outlineLevel="0" collapsed="false">
      <c r="A256" s="4" t="n">
        <v>6</v>
      </c>
      <c r="B256" s="4" t="n">
        <v>18</v>
      </c>
      <c r="C256" s="4" t="n">
        <v>196</v>
      </c>
      <c r="D256" s="4" t="n">
        <v>178</v>
      </c>
      <c r="E256" s="6" t="n">
        <v>13.6878029660408</v>
      </c>
      <c r="F256" s="6" t="n">
        <f aca="false">D256+E256</f>
        <v>191.687802966041</v>
      </c>
      <c r="G256" s="6" t="n">
        <f aca="false">F256-C256</f>
        <v>-4.31219703395917</v>
      </c>
      <c r="H256" s="4" t="str">
        <f aca="false">IF(G256&gt;2,"LATE",IF(G256&lt;-13,"EARLY","IN"))</f>
        <v>IN</v>
      </c>
      <c r="I256" s="4" t="n">
        <f aca="false">C256-D256</f>
        <v>18</v>
      </c>
    </row>
    <row r="257" customFormat="false" ht="15" hidden="false" customHeight="false" outlineLevel="0" collapsed="false">
      <c r="A257" s="4" t="n">
        <v>6</v>
      </c>
      <c r="B257" s="4" t="n">
        <v>30</v>
      </c>
      <c r="C257" s="4" t="n">
        <v>200</v>
      </c>
      <c r="D257" s="4" t="n">
        <v>183</v>
      </c>
      <c r="E257" s="6" t="n">
        <v>18.7043989420435</v>
      </c>
      <c r="F257" s="6" t="n">
        <f aca="false">D257+E257</f>
        <v>201.704398942044</v>
      </c>
      <c r="G257" s="6" t="n">
        <f aca="false">F257-C257</f>
        <v>1.70439894204353</v>
      </c>
      <c r="H257" s="4" t="str">
        <f aca="false">IF(G257&gt;2,"LATE",IF(G257&lt;-13,"EARLY","IN"))</f>
        <v>IN</v>
      </c>
      <c r="I257" s="4" t="n">
        <f aca="false">C257-D257</f>
        <v>17</v>
      </c>
    </row>
    <row r="258" customFormat="false" ht="15" hidden="false" customHeight="false" outlineLevel="0" collapsed="false">
      <c r="A258" s="4" t="n">
        <v>6</v>
      </c>
      <c r="B258" s="4" t="n">
        <v>34</v>
      </c>
      <c r="C258" s="4" t="n">
        <v>286</v>
      </c>
      <c r="D258" s="4" t="n">
        <v>268</v>
      </c>
      <c r="E258" s="6" t="n">
        <v>11.1834814322736</v>
      </c>
      <c r="F258" s="6" t="n">
        <f aca="false">D258+E258</f>
        <v>279.183481432274</v>
      </c>
      <c r="G258" s="6" t="n">
        <f aca="false">F258-C258</f>
        <v>-6.81651856772646</v>
      </c>
      <c r="H258" s="4" t="str">
        <f aca="false">IF(G258&gt;2,"LATE",IF(G258&lt;-13,"EARLY","IN"))</f>
        <v>IN</v>
      </c>
      <c r="I258" s="4" t="n">
        <f aca="false">C258-D258</f>
        <v>18</v>
      </c>
    </row>
    <row r="259" customFormat="false" ht="15" hidden="false" customHeight="false" outlineLevel="0" collapsed="false">
      <c r="A259" s="4" t="n">
        <v>6</v>
      </c>
      <c r="B259" s="4" t="n">
        <v>42</v>
      </c>
      <c r="C259" s="4" t="n">
        <v>241</v>
      </c>
      <c r="D259" s="4" t="n">
        <v>217</v>
      </c>
      <c r="E259" s="6" t="n">
        <v>18.9671846133065</v>
      </c>
      <c r="F259" s="6" t="n">
        <f aca="false">D259+E259</f>
        <v>235.967184613307</v>
      </c>
      <c r="G259" s="6" t="n">
        <f aca="false">F259-C259</f>
        <v>-5.03281538669347</v>
      </c>
      <c r="H259" s="4" t="str">
        <f aca="false">IF(G259&gt;2,"LATE",IF(G259&lt;-13,"EARLY","IN"))</f>
        <v>IN</v>
      </c>
      <c r="I259" s="4" t="n">
        <f aca="false">C259-D259</f>
        <v>24</v>
      </c>
    </row>
    <row r="260" customFormat="false" ht="15" hidden="false" customHeight="false" outlineLevel="0" collapsed="false">
      <c r="A260" s="4" t="n">
        <v>6</v>
      </c>
      <c r="B260" s="4" t="n">
        <v>45</v>
      </c>
      <c r="C260" s="4" t="n">
        <v>242</v>
      </c>
      <c r="D260" s="4" t="n">
        <v>217</v>
      </c>
      <c r="E260" s="6" t="n">
        <v>17.5504777144339</v>
      </c>
      <c r="F260" s="6" t="n">
        <f aca="false">D260+E260</f>
        <v>234.550477714434</v>
      </c>
      <c r="G260" s="6" t="n">
        <f aca="false">F260-C260</f>
        <v>-7.4495222855661</v>
      </c>
      <c r="H260" s="4" t="str">
        <f aca="false">IF(G260&gt;2,"LATE",IF(G260&lt;-13,"EARLY","IN"))</f>
        <v>IN</v>
      </c>
      <c r="I260" s="4" t="n">
        <f aca="false">C260-D260</f>
        <v>25</v>
      </c>
    </row>
    <row r="261" customFormat="false" ht="15" hidden="false" customHeight="false" outlineLevel="0" collapsed="false">
      <c r="A261" s="4" t="n">
        <v>6</v>
      </c>
      <c r="B261" s="4" t="n">
        <v>52</v>
      </c>
      <c r="C261" s="4" t="n">
        <v>212</v>
      </c>
      <c r="D261" s="4" t="n">
        <v>191</v>
      </c>
      <c r="E261" s="6" t="n">
        <v>13.838526317499</v>
      </c>
      <c r="F261" s="6" t="n">
        <f aca="false">D261+E261</f>
        <v>204.838526317499</v>
      </c>
      <c r="G261" s="6" t="n">
        <f aca="false">F261-C261</f>
        <v>-7.16147368250103</v>
      </c>
      <c r="H261" s="4" t="str">
        <f aca="false">IF(G261&gt;2,"LATE",IF(G261&lt;-13,"EARLY","IN"))</f>
        <v>IN</v>
      </c>
      <c r="I261" s="4" t="n">
        <f aca="false">C261-D261</f>
        <v>21</v>
      </c>
    </row>
    <row r="262" customFormat="false" ht="15" hidden="false" customHeight="false" outlineLevel="0" collapsed="false">
      <c r="A262" s="4" t="n">
        <v>6</v>
      </c>
      <c r="B262" s="4" t="n">
        <v>58</v>
      </c>
      <c r="C262" s="4" t="n">
        <v>147</v>
      </c>
      <c r="D262" s="4" t="n">
        <v>132</v>
      </c>
      <c r="E262" s="6" t="n">
        <v>13.7218550758978</v>
      </c>
      <c r="F262" s="6" t="n">
        <f aca="false">D262+E262</f>
        <v>145.721855075898</v>
      </c>
      <c r="G262" s="6" t="n">
        <f aca="false">F262-C262</f>
        <v>-1.27814492410221</v>
      </c>
      <c r="H262" s="4" t="str">
        <f aca="false">IF(G262&gt;2,"LATE",IF(G262&lt;-13,"EARLY","IN"))</f>
        <v>IN</v>
      </c>
      <c r="I262" s="4" t="n">
        <f aca="false">C262-D262</f>
        <v>15</v>
      </c>
    </row>
    <row r="263" customFormat="false" ht="15" hidden="false" customHeight="false" outlineLevel="0" collapsed="false">
      <c r="A263" s="4" t="n">
        <v>6</v>
      </c>
      <c r="B263" s="4" t="n">
        <v>61</v>
      </c>
      <c r="C263" s="4" t="n">
        <v>229</v>
      </c>
      <c r="D263" s="4" t="n">
        <v>206</v>
      </c>
      <c r="E263" s="6" t="n">
        <v>17.7445644776849</v>
      </c>
      <c r="F263" s="6" t="n">
        <f aca="false">D263+E263</f>
        <v>223.744564477685</v>
      </c>
      <c r="G263" s="6" t="n">
        <f aca="false">F263-C263</f>
        <v>-5.25543552231514</v>
      </c>
      <c r="H263" s="4" t="str">
        <f aca="false">IF(G263&gt;2,"LATE",IF(G263&lt;-13,"EARLY","IN"))</f>
        <v>IN</v>
      </c>
      <c r="I263" s="4" t="n">
        <f aca="false">C263-D263</f>
        <v>23</v>
      </c>
    </row>
    <row r="264" customFormat="false" ht="15" hidden="false" customHeight="false" outlineLevel="0" collapsed="false">
      <c r="A264" s="4" t="n">
        <v>6</v>
      </c>
      <c r="B264" s="4" t="n">
        <v>64</v>
      </c>
      <c r="C264" s="4" t="n">
        <v>154</v>
      </c>
      <c r="D264" s="4" t="n">
        <v>140</v>
      </c>
      <c r="E264" s="6" t="n">
        <v>18.6128880951792</v>
      </c>
      <c r="F264" s="6" t="n">
        <f aca="false">D264+E264</f>
        <v>158.612888095179</v>
      </c>
      <c r="G264" s="6" t="n">
        <f aca="false">F264-C264</f>
        <v>4.61288809517922</v>
      </c>
      <c r="H264" s="4" t="str">
        <f aca="false">IF(G264&gt;2,"LATE",IF(G264&lt;-13,"EARLY","IN"))</f>
        <v>LATE</v>
      </c>
      <c r="I264" s="4" t="n">
        <f aca="false">C264-D264</f>
        <v>14</v>
      </c>
    </row>
    <row r="265" customFormat="false" ht="15" hidden="false" customHeight="false" outlineLevel="0" collapsed="false">
      <c r="A265" s="4" t="n">
        <v>6</v>
      </c>
      <c r="B265" s="4" t="n">
        <v>66</v>
      </c>
      <c r="C265" s="4" t="n">
        <v>190</v>
      </c>
      <c r="D265" s="4" t="n">
        <v>172</v>
      </c>
      <c r="E265" s="6" t="n">
        <v>12.4588911013964</v>
      </c>
      <c r="F265" s="6" t="n">
        <f aca="false">D265+E265</f>
        <v>184.458891101396</v>
      </c>
      <c r="G265" s="6" t="n">
        <f aca="false">F265-C265</f>
        <v>-5.54110889860357</v>
      </c>
      <c r="H265" s="4" t="str">
        <f aca="false">IF(G265&gt;2,"LATE",IF(G265&lt;-13,"EARLY","IN"))</f>
        <v>IN</v>
      </c>
      <c r="I265" s="4" t="n">
        <f aca="false">C265-D265</f>
        <v>18</v>
      </c>
    </row>
    <row r="266" customFormat="false" ht="15" hidden="false" customHeight="false" outlineLevel="0" collapsed="false">
      <c r="A266" s="4" t="n">
        <v>6</v>
      </c>
      <c r="B266" s="4" t="n">
        <v>70</v>
      </c>
      <c r="C266" s="4" t="n">
        <v>175</v>
      </c>
      <c r="D266" s="4" t="n">
        <v>158</v>
      </c>
      <c r="E266" s="6" t="n">
        <v>12.0253919123721</v>
      </c>
      <c r="F266" s="6" t="n">
        <f aca="false">D266+E266</f>
        <v>170.025391912372</v>
      </c>
      <c r="G266" s="6" t="n">
        <f aca="false">F266-C266</f>
        <v>-4.97460808762793</v>
      </c>
      <c r="H266" s="4" t="str">
        <f aca="false">IF(G266&gt;2,"LATE",IF(G266&lt;-13,"EARLY","IN"))</f>
        <v>IN</v>
      </c>
      <c r="I266" s="4" t="n">
        <f aca="false">C266-D266</f>
        <v>17</v>
      </c>
    </row>
    <row r="267" customFormat="false" ht="15" hidden="false" customHeight="false" outlineLevel="0" collapsed="false">
      <c r="A267" s="4" t="n">
        <v>6</v>
      </c>
      <c r="B267" s="4" t="n">
        <v>74</v>
      </c>
      <c r="C267" s="4" t="n">
        <v>192</v>
      </c>
      <c r="D267" s="4" t="n">
        <v>175</v>
      </c>
      <c r="E267" s="6" t="n">
        <v>15.0675584101543</v>
      </c>
      <c r="F267" s="6" t="n">
        <f aca="false">D267+E267</f>
        <v>190.067558410154</v>
      </c>
      <c r="G267" s="6" t="n">
        <f aca="false">F267-C267</f>
        <v>-1.93244158984567</v>
      </c>
      <c r="H267" s="4" t="str">
        <f aca="false">IF(G267&gt;2,"LATE",IF(G267&lt;-13,"EARLY","IN"))</f>
        <v>IN</v>
      </c>
      <c r="I267" s="4" t="n">
        <f aca="false">C267-D267</f>
        <v>17</v>
      </c>
    </row>
    <row r="268" customFormat="false" ht="15" hidden="false" customHeight="false" outlineLevel="0" collapsed="false">
      <c r="A268" s="4" t="n">
        <v>6</v>
      </c>
      <c r="B268" s="4" t="n">
        <v>81</v>
      </c>
      <c r="C268" s="4" t="n">
        <v>199</v>
      </c>
      <c r="D268" s="4" t="n">
        <v>181</v>
      </c>
      <c r="E268" s="6" t="n">
        <v>10.0491005902425</v>
      </c>
      <c r="F268" s="6" t="n">
        <f aca="false">D268+E268</f>
        <v>191.049100590242</v>
      </c>
      <c r="G268" s="6" t="n">
        <f aca="false">F268-C268</f>
        <v>-7.95089940975754</v>
      </c>
      <c r="H268" s="4" t="str">
        <f aca="false">IF(G268&gt;2,"LATE",IF(G268&lt;-13,"EARLY","IN"))</f>
        <v>IN</v>
      </c>
      <c r="I268" s="4" t="n">
        <f aca="false">C268-D268</f>
        <v>18</v>
      </c>
    </row>
    <row r="269" customFormat="false" ht="15" hidden="false" customHeight="false" outlineLevel="0" collapsed="false">
      <c r="A269" s="4" t="n">
        <v>6</v>
      </c>
      <c r="B269" s="4" t="n">
        <v>86</v>
      </c>
      <c r="C269" s="4" t="n">
        <v>205</v>
      </c>
      <c r="D269" s="4" t="n">
        <v>188</v>
      </c>
      <c r="E269" s="6" t="n">
        <v>11.7625241851437</v>
      </c>
      <c r="F269" s="6" t="n">
        <f aca="false">D269+E269</f>
        <v>199.762524185144</v>
      </c>
      <c r="G269" s="6" t="n">
        <f aca="false">F269-C269</f>
        <v>-5.23747581485631</v>
      </c>
      <c r="H269" s="4" t="str">
        <f aca="false">IF(G269&gt;2,"LATE",IF(G269&lt;-13,"EARLY","IN"))</f>
        <v>IN</v>
      </c>
      <c r="I269" s="4" t="n">
        <f aca="false">C269-D269</f>
        <v>17</v>
      </c>
    </row>
    <row r="270" customFormat="false" ht="15" hidden="false" customHeight="false" outlineLevel="0" collapsed="false">
      <c r="A270" s="4" t="n">
        <v>6</v>
      </c>
      <c r="B270" s="4" t="n">
        <v>88</v>
      </c>
      <c r="C270" s="4" t="n">
        <v>134</v>
      </c>
      <c r="D270" s="4" t="n">
        <v>123</v>
      </c>
      <c r="E270" s="6" t="n">
        <v>12.0303079135778</v>
      </c>
      <c r="F270" s="6" t="n">
        <f aca="false">D270+E270</f>
        <v>135.030307913578</v>
      </c>
      <c r="G270" s="6" t="n">
        <f aca="false">F270-C270</f>
        <v>1.03030791357779</v>
      </c>
      <c r="H270" s="4" t="str">
        <f aca="false">IF(G270&gt;2,"LATE",IF(G270&lt;-13,"EARLY","IN"))</f>
        <v>IN</v>
      </c>
      <c r="I270" s="4" t="n">
        <f aca="false">C270-D270</f>
        <v>11</v>
      </c>
    </row>
    <row r="271" customFormat="false" ht="15" hidden="false" customHeight="false" outlineLevel="0" collapsed="false">
      <c r="A271" s="4" t="n">
        <v>6</v>
      </c>
      <c r="B271" s="4" t="n">
        <v>92</v>
      </c>
      <c r="C271" s="4" t="n">
        <v>207</v>
      </c>
      <c r="D271" s="4" t="n">
        <v>188</v>
      </c>
      <c r="E271" s="6" t="n">
        <v>16.6546918802863</v>
      </c>
      <c r="F271" s="6" t="n">
        <f aca="false">D271+E271</f>
        <v>204.654691880286</v>
      </c>
      <c r="G271" s="6" t="n">
        <f aca="false">F271-C271</f>
        <v>-2.34530811971368</v>
      </c>
      <c r="H271" s="4" t="str">
        <f aca="false">IF(G271&gt;2,"LATE",IF(G271&lt;-13,"EARLY","IN"))</f>
        <v>IN</v>
      </c>
      <c r="I271" s="4" t="n">
        <f aca="false">C271-D271</f>
        <v>19</v>
      </c>
    </row>
    <row r="272" customFormat="false" ht="15" hidden="false" customHeight="false" outlineLevel="0" collapsed="false">
      <c r="A272" s="4" t="n">
        <v>6</v>
      </c>
      <c r="B272" s="4" t="n">
        <v>99</v>
      </c>
      <c r="C272" s="4" t="n">
        <v>263</v>
      </c>
      <c r="D272" s="4" t="n">
        <v>249</v>
      </c>
      <c r="E272" s="6" t="n">
        <v>7.48003141617732</v>
      </c>
      <c r="F272" s="6" t="n">
        <f aca="false">D272+E272</f>
        <v>256.480031416177</v>
      </c>
      <c r="G272" s="6" t="n">
        <f aca="false">F272-C272</f>
        <v>-6.51996858382267</v>
      </c>
      <c r="H272" s="4" t="str">
        <f aca="false">IF(G272&gt;2,"LATE",IF(G272&lt;-13,"EARLY","IN"))</f>
        <v>IN</v>
      </c>
      <c r="I272" s="4" t="n">
        <f aca="false">C272-D272</f>
        <v>14</v>
      </c>
    </row>
    <row r="273" customFormat="false" ht="15" hidden="false" customHeight="false" outlineLevel="0" collapsed="false">
      <c r="A273" s="4" t="n">
        <v>6</v>
      </c>
      <c r="B273" s="4" t="n">
        <v>104</v>
      </c>
      <c r="C273" s="4" t="n">
        <v>178</v>
      </c>
      <c r="D273" s="4" t="n">
        <v>161</v>
      </c>
      <c r="E273" s="6" t="n">
        <v>15.7972099241476</v>
      </c>
      <c r="F273" s="6" t="n">
        <f aca="false">D273+E273</f>
        <v>176.797209924148</v>
      </c>
      <c r="G273" s="6" t="n">
        <f aca="false">F273-C273</f>
        <v>-1.20279007585239</v>
      </c>
      <c r="H273" s="4" t="str">
        <f aca="false">IF(G273&gt;2,"LATE",IF(G273&lt;-13,"EARLY","IN"))</f>
        <v>IN</v>
      </c>
      <c r="I273" s="4" t="n">
        <f aca="false">C273-D273</f>
        <v>17</v>
      </c>
    </row>
    <row r="274" customFormat="false" ht="15" hidden="false" customHeight="false" outlineLevel="0" collapsed="false">
      <c r="A274" s="4" t="n">
        <v>6</v>
      </c>
      <c r="B274" s="4" t="n">
        <v>108</v>
      </c>
      <c r="C274" s="4" t="n">
        <v>230</v>
      </c>
      <c r="D274" s="4" t="n">
        <v>208</v>
      </c>
      <c r="E274" s="6" t="n">
        <v>11.9669622465106</v>
      </c>
      <c r="F274" s="6" t="n">
        <f aca="false">D274+E274</f>
        <v>219.966962246511</v>
      </c>
      <c r="G274" s="6" t="n">
        <f aca="false">F274-C274</f>
        <v>-10.0330377534894</v>
      </c>
      <c r="H274" s="4" t="str">
        <f aca="false">IF(G274&gt;2,"LATE",IF(G274&lt;-13,"EARLY","IN"))</f>
        <v>IN</v>
      </c>
      <c r="I274" s="4" t="n">
        <f aca="false">C274-D274</f>
        <v>22</v>
      </c>
    </row>
    <row r="275" customFormat="false" ht="15" hidden="false" customHeight="false" outlineLevel="0" collapsed="false">
      <c r="A275" s="4" t="n">
        <v>6</v>
      </c>
      <c r="B275" s="4" t="n">
        <v>110</v>
      </c>
      <c r="C275" s="4" t="n">
        <v>277</v>
      </c>
      <c r="D275" s="4" t="n">
        <v>251</v>
      </c>
      <c r="E275" s="6" t="n">
        <v>13.4897717513811</v>
      </c>
      <c r="F275" s="6" t="n">
        <f aca="false">D275+E275</f>
        <v>264.489771751381</v>
      </c>
      <c r="G275" s="6" t="n">
        <f aca="false">F275-C275</f>
        <v>-12.5102282486189</v>
      </c>
      <c r="H275" s="4" t="str">
        <f aca="false">IF(G275&gt;2,"LATE",IF(G275&lt;-13,"EARLY","IN"))</f>
        <v>IN</v>
      </c>
      <c r="I275" s="4" t="n">
        <f aca="false">C275-D275</f>
        <v>26</v>
      </c>
    </row>
    <row r="276" customFormat="false" ht="15" hidden="false" customHeight="false" outlineLevel="0" collapsed="false">
      <c r="A276" s="4" t="n">
        <v>6</v>
      </c>
      <c r="B276" s="4" t="n">
        <v>114</v>
      </c>
      <c r="C276" s="4" t="n">
        <v>197</v>
      </c>
      <c r="D276" s="4" t="n">
        <v>177</v>
      </c>
      <c r="E276" s="6" t="n">
        <v>15.1335449298608</v>
      </c>
      <c r="F276" s="6" t="n">
        <f aca="false">D276+E276</f>
        <v>192.133544929861</v>
      </c>
      <c r="G276" s="6" t="n">
        <f aca="false">F276-C276</f>
        <v>-4.86645507013924</v>
      </c>
      <c r="H276" s="4" t="str">
        <f aca="false">IF(G276&gt;2,"LATE",IF(G276&lt;-13,"EARLY","IN"))</f>
        <v>IN</v>
      </c>
      <c r="I276" s="4" t="n">
        <f aca="false">C276-D276</f>
        <v>20</v>
      </c>
    </row>
    <row r="277" customFormat="false" ht="15" hidden="false" customHeight="false" outlineLevel="0" collapsed="false">
      <c r="A277" s="4" t="n">
        <v>6</v>
      </c>
      <c r="B277" s="4" t="n">
        <v>117</v>
      </c>
      <c r="C277" s="4" t="n">
        <v>212</v>
      </c>
      <c r="D277" s="4" t="n">
        <v>192</v>
      </c>
      <c r="E277" s="6" t="n">
        <v>15.9100251049764</v>
      </c>
      <c r="F277" s="6" t="n">
        <f aca="false">D277+E277</f>
        <v>207.910025104976</v>
      </c>
      <c r="G277" s="6" t="n">
        <f aca="false">F277-C277</f>
        <v>-4.08997489502363</v>
      </c>
      <c r="H277" s="4" t="str">
        <f aca="false">IF(G277&gt;2,"LATE",IF(G277&lt;-13,"EARLY","IN"))</f>
        <v>IN</v>
      </c>
      <c r="I277" s="4" t="n">
        <f aca="false">C277-D277</f>
        <v>20</v>
      </c>
    </row>
    <row r="278" customFormat="false" ht="15" hidden="false" customHeight="false" outlineLevel="0" collapsed="false">
      <c r="A278" s="4" t="n">
        <v>6</v>
      </c>
      <c r="B278" s="4" t="n">
        <v>118</v>
      </c>
      <c r="C278" s="4" t="n">
        <v>188</v>
      </c>
      <c r="D278" s="4" t="n">
        <v>170</v>
      </c>
      <c r="E278" s="6" t="n">
        <v>16.2534415938359</v>
      </c>
      <c r="F278" s="6" t="n">
        <f aca="false">D278+E278</f>
        <v>186.253441593836</v>
      </c>
      <c r="G278" s="6" t="n">
        <f aca="false">F278-C278</f>
        <v>-1.74655840616413</v>
      </c>
      <c r="H278" s="4" t="str">
        <f aca="false">IF(G278&gt;2,"LATE",IF(G278&lt;-13,"EARLY","IN"))</f>
        <v>IN</v>
      </c>
      <c r="I278" s="4" t="n">
        <f aca="false">C278-D278</f>
        <v>18</v>
      </c>
    </row>
    <row r="279" customFormat="false" ht="15" hidden="false" customHeight="false" outlineLevel="0" collapsed="false">
      <c r="A279" s="4" t="n">
        <v>6</v>
      </c>
      <c r="B279" s="4" t="n">
        <v>119</v>
      </c>
      <c r="C279" s="4" t="n">
        <v>242</v>
      </c>
      <c r="D279" s="4" t="n">
        <v>216</v>
      </c>
      <c r="E279" s="6" t="n">
        <v>18.4114745483606</v>
      </c>
      <c r="F279" s="6" t="n">
        <f aca="false">D279+E279</f>
        <v>234.411474548361</v>
      </c>
      <c r="G279" s="6" t="n">
        <f aca="false">F279-C279</f>
        <v>-7.58852545163938</v>
      </c>
      <c r="H279" s="4" t="str">
        <f aca="false">IF(G279&gt;2,"LATE",IF(G279&lt;-13,"EARLY","IN"))</f>
        <v>IN</v>
      </c>
      <c r="I279" s="4" t="n">
        <f aca="false">C279-D279</f>
        <v>26</v>
      </c>
    </row>
    <row r="280" customFormat="false" ht="15" hidden="false" customHeight="false" outlineLevel="0" collapsed="false">
      <c r="A280" s="4" t="n">
        <v>6</v>
      </c>
      <c r="B280" s="4" t="n">
        <v>126</v>
      </c>
      <c r="C280" s="4" t="n">
        <v>241</v>
      </c>
      <c r="D280" s="4" t="n">
        <v>226</v>
      </c>
      <c r="E280" s="6" t="n">
        <v>15.9155488698407</v>
      </c>
      <c r="F280" s="6" t="n">
        <f aca="false">D280+E280</f>
        <v>241.915548869841</v>
      </c>
      <c r="G280" s="6" t="n">
        <f aca="false">F280-C280</f>
        <v>0.915548869840734</v>
      </c>
      <c r="H280" s="4" t="str">
        <f aca="false">IF(G280&gt;2,"LATE",IF(G280&lt;-13,"EARLY","IN"))</f>
        <v>IN</v>
      </c>
      <c r="I280" s="4" t="n">
        <f aca="false">C280-D280</f>
        <v>15</v>
      </c>
    </row>
    <row r="281" customFormat="false" ht="15" hidden="false" customHeight="false" outlineLevel="0" collapsed="false">
      <c r="A281" s="4" t="n">
        <v>6</v>
      </c>
      <c r="B281" s="4" t="n">
        <v>138</v>
      </c>
      <c r="C281" s="4" t="n">
        <v>181</v>
      </c>
      <c r="D281" s="4" t="n">
        <v>168</v>
      </c>
      <c r="E281" s="6" t="n">
        <v>13.0980000511636</v>
      </c>
      <c r="F281" s="6" t="n">
        <f aca="false">D281+E281</f>
        <v>181.098000051164</v>
      </c>
      <c r="G281" s="6" t="n">
        <f aca="false">F281-C281</f>
        <v>0.0980000511635808</v>
      </c>
      <c r="H281" s="4" t="str">
        <f aca="false">IF(G281&gt;2,"LATE",IF(G281&lt;-13,"EARLY","IN"))</f>
        <v>IN</v>
      </c>
      <c r="I281" s="4" t="n">
        <f aca="false">C281-D281</f>
        <v>13</v>
      </c>
    </row>
    <row r="282" customFormat="false" ht="15" hidden="false" customHeight="false" outlineLevel="0" collapsed="false">
      <c r="A282" s="4" t="n">
        <v>6</v>
      </c>
      <c r="B282" s="4" t="n">
        <v>141</v>
      </c>
      <c r="C282" s="4" t="n">
        <v>277</v>
      </c>
      <c r="D282" s="4" t="n">
        <v>256</v>
      </c>
      <c r="E282" s="6" t="n">
        <v>15.0553862775985</v>
      </c>
      <c r="F282" s="6" t="n">
        <f aca="false">D282+E282</f>
        <v>271.055386277599</v>
      </c>
      <c r="G282" s="6" t="n">
        <f aca="false">F282-C282</f>
        <v>-5.94461372240153</v>
      </c>
      <c r="H282" s="4" t="str">
        <f aca="false">IF(G282&gt;2,"LATE",IF(G282&lt;-13,"EARLY","IN"))</f>
        <v>IN</v>
      </c>
      <c r="I282" s="4" t="n">
        <f aca="false">C282-D282</f>
        <v>21</v>
      </c>
    </row>
    <row r="283" customFormat="false" ht="15" hidden="false" customHeight="false" outlineLevel="0" collapsed="false">
      <c r="A283" s="4" t="n">
        <v>6</v>
      </c>
      <c r="B283" s="4" t="n">
        <v>143</v>
      </c>
      <c r="C283" s="4" t="n">
        <v>149</v>
      </c>
      <c r="D283" s="4" t="n">
        <v>141</v>
      </c>
      <c r="E283" s="6" t="n">
        <v>10.4407648565273</v>
      </c>
      <c r="F283" s="6" t="n">
        <f aca="false">D283+E283</f>
        <v>151.440764856527</v>
      </c>
      <c r="G283" s="6" t="n">
        <f aca="false">F283-C283</f>
        <v>2.44076485652727</v>
      </c>
      <c r="H283" s="4" t="str">
        <f aca="false">IF(G283&gt;2,"LATE",IF(G283&lt;-13,"EARLY","IN"))</f>
        <v>LATE</v>
      </c>
      <c r="I283" s="4" t="n">
        <f aca="false">C283-D283</f>
        <v>8</v>
      </c>
    </row>
    <row r="284" customFormat="false" ht="15" hidden="false" customHeight="false" outlineLevel="0" collapsed="false">
      <c r="A284" s="4" t="n">
        <v>6</v>
      </c>
      <c r="B284" s="4" t="n">
        <v>149</v>
      </c>
      <c r="C284" s="4" t="n">
        <v>192</v>
      </c>
      <c r="D284" s="4" t="n">
        <v>176</v>
      </c>
      <c r="E284" s="6" t="n">
        <v>15.4588070505241</v>
      </c>
      <c r="F284" s="6" t="n">
        <f aca="false">D284+E284</f>
        <v>191.458807050524</v>
      </c>
      <c r="G284" s="6" t="n">
        <f aca="false">F284-C284</f>
        <v>-0.541192949475914</v>
      </c>
      <c r="H284" s="4" t="str">
        <f aca="false">IF(G284&gt;2,"LATE",IF(G284&lt;-13,"EARLY","IN"))</f>
        <v>IN</v>
      </c>
      <c r="I284" s="4" t="n">
        <f aca="false">C284-D284</f>
        <v>16</v>
      </c>
    </row>
    <row r="285" customFormat="false" ht="15" hidden="false" customHeight="false" outlineLevel="0" collapsed="false">
      <c r="A285" s="4" t="n">
        <v>6</v>
      </c>
      <c r="B285" s="4" t="n">
        <v>158</v>
      </c>
      <c r="C285" s="4" t="n">
        <v>167</v>
      </c>
      <c r="D285" s="4" t="n">
        <v>146</v>
      </c>
      <c r="E285" s="6" t="n">
        <v>14.5653359636768</v>
      </c>
      <c r="F285" s="6" t="n">
        <f aca="false">D285+E285</f>
        <v>160.565335963677</v>
      </c>
      <c r="G285" s="6" t="n">
        <f aca="false">F285-C285</f>
        <v>-6.43466403632323</v>
      </c>
      <c r="H285" s="4" t="str">
        <f aca="false">IF(G285&gt;2,"LATE",IF(G285&lt;-13,"EARLY","IN"))</f>
        <v>IN</v>
      </c>
      <c r="I285" s="4" t="n">
        <f aca="false">C285-D285</f>
        <v>21</v>
      </c>
    </row>
    <row r="286" customFormat="false" ht="15" hidden="false" customHeight="false" outlineLevel="0" collapsed="false">
      <c r="A286" s="4" t="n">
        <v>6</v>
      </c>
      <c r="B286" s="4" t="n">
        <v>160</v>
      </c>
      <c r="C286" s="4" t="n">
        <v>147</v>
      </c>
      <c r="D286" s="4" t="n">
        <v>130</v>
      </c>
      <c r="E286" s="6" t="n">
        <v>16.3228036592152</v>
      </c>
      <c r="F286" s="6" t="n">
        <f aca="false">D286+E286</f>
        <v>146.322803659215</v>
      </c>
      <c r="G286" s="6" t="n">
        <f aca="false">F286-C286</f>
        <v>-0.677196340784775</v>
      </c>
      <c r="H286" s="4" t="str">
        <f aca="false">IF(G286&gt;2,"LATE",IF(G286&lt;-13,"EARLY","IN"))</f>
        <v>IN</v>
      </c>
      <c r="I286" s="4" t="n">
        <f aca="false">C286-D286</f>
        <v>17</v>
      </c>
    </row>
    <row r="287" customFormat="false" ht="15" hidden="false" customHeight="false" outlineLevel="0" collapsed="false">
      <c r="A287" s="4" t="n">
        <v>6</v>
      </c>
      <c r="B287" s="4" t="n">
        <v>164</v>
      </c>
      <c r="C287" s="4" t="n">
        <v>211</v>
      </c>
      <c r="D287" s="4" t="n">
        <v>194</v>
      </c>
      <c r="E287" s="6" t="n">
        <v>12.4604892039813</v>
      </c>
      <c r="F287" s="6" t="n">
        <f aca="false">D287+E287</f>
        <v>206.460489203981</v>
      </c>
      <c r="G287" s="6" t="n">
        <f aca="false">F287-C287</f>
        <v>-4.5395107960187</v>
      </c>
      <c r="H287" s="4" t="str">
        <f aca="false">IF(G287&gt;2,"LATE",IF(G287&lt;-13,"EARLY","IN"))</f>
        <v>IN</v>
      </c>
      <c r="I287" s="4" t="n">
        <f aca="false">C287-D287</f>
        <v>17</v>
      </c>
    </row>
    <row r="288" customFormat="false" ht="15" hidden="false" customHeight="false" outlineLevel="0" collapsed="false">
      <c r="A288" s="4" t="n">
        <v>6</v>
      </c>
      <c r="B288" s="4" t="n">
        <v>168</v>
      </c>
      <c r="C288" s="4" t="n">
        <v>253</v>
      </c>
      <c r="D288" s="4" t="n">
        <v>229</v>
      </c>
      <c r="E288" s="6" t="n">
        <v>17.2868684417535</v>
      </c>
      <c r="F288" s="6" t="n">
        <f aca="false">D288+E288</f>
        <v>246.286868441754</v>
      </c>
      <c r="G288" s="6" t="n">
        <f aca="false">F288-C288</f>
        <v>-6.71313155824649</v>
      </c>
      <c r="H288" s="4" t="str">
        <f aca="false">IF(G288&gt;2,"LATE",IF(G288&lt;-13,"EARLY","IN"))</f>
        <v>IN</v>
      </c>
      <c r="I288" s="4" t="n">
        <f aca="false">C288-D288</f>
        <v>24</v>
      </c>
    </row>
    <row r="289" customFormat="false" ht="15" hidden="false" customHeight="false" outlineLevel="0" collapsed="false">
      <c r="A289" s="4" t="n">
        <v>6</v>
      </c>
      <c r="B289" s="4" t="n">
        <v>172</v>
      </c>
      <c r="C289" s="4" t="n">
        <v>222</v>
      </c>
      <c r="D289" s="4" t="n">
        <v>207</v>
      </c>
      <c r="E289" s="6" t="n">
        <v>15.799049547745</v>
      </c>
      <c r="F289" s="6" t="n">
        <f aca="false">D289+E289</f>
        <v>222.799049547745</v>
      </c>
      <c r="G289" s="6" t="n">
        <f aca="false">F289-C289</f>
        <v>0.799049547745</v>
      </c>
      <c r="H289" s="4" t="str">
        <f aca="false">IF(G289&gt;2,"LATE",IF(G289&lt;-13,"EARLY","IN"))</f>
        <v>IN</v>
      </c>
      <c r="I289" s="4" t="n">
        <f aca="false">C289-D289</f>
        <v>15</v>
      </c>
    </row>
    <row r="290" customFormat="false" ht="15" hidden="false" customHeight="false" outlineLevel="0" collapsed="false">
      <c r="A290" s="4" t="n">
        <v>6</v>
      </c>
      <c r="B290" s="4" t="n">
        <v>175</v>
      </c>
      <c r="C290" s="4" t="n">
        <v>278</v>
      </c>
      <c r="D290" s="4" t="n">
        <v>253</v>
      </c>
      <c r="E290" s="6" t="n">
        <v>14.9306225981994</v>
      </c>
      <c r="F290" s="6" t="n">
        <f aca="false">D290+E290</f>
        <v>267.930622598199</v>
      </c>
      <c r="G290" s="6" t="n">
        <f aca="false">F290-C290</f>
        <v>-10.0693774018006</v>
      </c>
      <c r="H290" s="4" t="str">
        <f aca="false">IF(G290&gt;2,"LATE",IF(G290&lt;-13,"EARLY","IN"))</f>
        <v>IN</v>
      </c>
      <c r="I290" s="4" t="n">
        <f aca="false">C290-D290</f>
        <v>25</v>
      </c>
    </row>
    <row r="291" customFormat="false" ht="15" hidden="false" customHeight="false" outlineLevel="0" collapsed="false">
      <c r="A291" s="4" t="n">
        <v>6</v>
      </c>
      <c r="B291" s="4" t="n">
        <v>178</v>
      </c>
      <c r="C291" s="4" t="n">
        <v>255</v>
      </c>
      <c r="D291" s="4" t="n">
        <v>235</v>
      </c>
      <c r="E291" s="6" t="n">
        <v>13.8860690181812</v>
      </c>
      <c r="F291" s="6" t="n">
        <f aca="false">D291+E291</f>
        <v>248.886069018181</v>
      </c>
      <c r="G291" s="6" t="n">
        <f aca="false">F291-C291</f>
        <v>-6.11393098181881</v>
      </c>
      <c r="H291" s="4" t="str">
        <f aca="false">IF(G291&gt;2,"LATE",IF(G291&lt;-13,"EARLY","IN"))</f>
        <v>IN</v>
      </c>
      <c r="I291" s="4" t="n">
        <f aca="false">C291-D291</f>
        <v>20</v>
      </c>
    </row>
    <row r="292" customFormat="false" ht="15" hidden="false" customHeight="false" outlineLevel="0" collapsed="false">
      <c r="A292" s="4" t="n">
        <v>6</v>
      </c>
      <c r="B292" s="4" t="n">
        <v>182</v>
      </c>
      <c r="C292" s="4" t="n">
        <v>220</v>
      </c>
      <c r="D292" s="4" t="n">
        <v>194</v>
      </c>
      <c r="E292" s="6" t="n">
        <v>14.9809805632225</v>
      </c>
      <c r="F292" s="6" t="n">
        <f aca="false">D292+E292</f>
        <v>208.980980563223</v>
      </c>
      <c r="G292" s="6" t="n">
        <f aca="false">F292-C292</f>
        <v>-11.0190194367775</v>
      </c>
      <c r="H292" s="4" t="str">
        <f aca="false">IF(G292&gt;2,"LATE",IF(G292&lt;-13,"EARLY","IN"))</f>
        <v>IN</v>
      </c>
      <c r="I292" s="4" t="n">
        <f aca="false">C292-D292</f>
        <v>26</v>
      </c>
    </row>
    <row r="293" customFormat="false" ht="15" hidden="false" customHeight="false" outlineLevel="0" collapsed="false">
      <c r="A293" s="4" t="n">
        <v>6</v>
      </c>
      <c r="B293" s="4" t="n">
        <v>184</v>
      </c>
      <c r="C293" s="4" t="n">
        <v>160</v>
      </c>
      <c r="D293" s="4" t="n">
        <v>142</v>
      </c>
      <c r="E293" s="6" t="n">
        <v>12.906960085833</v>
      </c>
      <c r="F293" s="6" t="n">
        <f aca="false">D293+E293</f>
        <v>154.906960085833</v>
      </c>
      <c r="G293" s="6" t="n">
        <f aca="false">F293-C293</f>
        <v>-5.09303991416704</v>
      </c>
      <c r="H293" s="4" t="str">
        <f aca="false">IF(G293&gt;2,"LATE",IF(G293&lt;-13,"EARLY","IN"))</f>
        <v>IN</v>
      </c>
      <c r="I293" s="4" t="n">
        <f aca="false">C293-D293</f>
        <v>18</v>
      </c>
    </row>
    <row r="294" customFormat="false" ht="15" hidden="false" customHeight="false" outlineLevel="0" collapsed="false">
      <c r="A294" s="4" t="n">
        <v>6</v>
      </c>
      <c r="B294" s="4" t="n">
        <v>187</v>
      </c>
      <c r="C294" s="4" t="n">
        <v>199</v>
      </c>
      <c r="D294" s="4" t="n">
        <v>178</v>
      </c>
      <c r="E294" s="6" t="n">
        <v>15.3147372987502</v>
      </c>
      <c r="F294" s="6" t="n">
        <f aca="false">D294+E294</f>
        <v>193.31473729875</v>
      </c>
      <c r="G294" s="6" t="n">
        <f aca="false">F294-C294</f>
        <v>-5.68526270124985</v>
      </c>
      <c r="H294" s="4" t="str">
        <f aca="false">IF(G294&gt;2,"LATE",IF(G294&lt;-13,"EARLY","IN"))</f>
        <v>IN</v>
      </c>
      <c r="I294" s="4" t="n">
        <f aca="false">C294-D294</f>
        <v>21</v>
      </c>
    </row>
    <row r="295" customFormat="false" ht="15" hidden="false" customHeight="false" outlineLevel="0" collapsed="false">
      <c r="A295" s="4" t="n">
        <v>6</v>
      </c>
      <c r="B295" s="4" t="n">
        <v>189</v>
      </c>
      <c r="C295" s="4" t="n">
        <v>242</v>
      </c>
      <c r="D295" s="4" t="n">
        <v>227</v>
      </c>
      <c r="E295" s="6" t="n">
        <v>14.4453580079466</v>
      </c>
      <c r="F295" s="6" t="n">
        <f aca="false">D295+E295</f>
        <v>241.445358007947</v>
      </c>
      <c r="G295" s="6" t="n">
        <f aca="false">F295-C295</f>
        <v>-0.554641992053462</v>
      </c>
      <c r="H295" s="4" t="str">
        <f aca="false">IF(G295&gt;2,"LATE",IF(G295&lt;-13,"EARLY","IN"))</f>
        <v>IN</v>
      </c>
      <c r="I295" s="4" t="n">
        <f aca="false">C295-D295</f>
        <v>15</v>
      </c>
    </row>
    <row r="296" customFormat="false" ht="15" hidden="false" customHeight="false" outlineLevel="0" collapsed="false">
      <c r="A296" s="4" t="n">
        <v>6</v>
      </c>
      <c r="B296" s="4" t="n">
        <v>191</v>
      </c>
      <c r="C296" s="4" t="n">
        <v>255</v>
      </c>
      <c r="D296" s="4" t="n">
        <v>232</v>
      </c>
      <c r="E296" s="6" t="n">
        <v>14.5945873031609</v>
      </c>
      <c r="F296" s="6" t="n">
        <f aca="false">D296+E296</f>
        <v>246.594587303161</v>
      </c>
      <c r="G296" s="6" t="n">
        <f aca="false">F296-C296</f>
        <v>-8.40541269683908</v>
      </c>
      <c r="H296" s="4" t="str">
        <f aca="false">IF(G296&gt;2,"LATE",IF(G296&lt;-13,"EARLY","IN"))</f>
        <v>IN</v>
      </c>
      <c r="I296" s="4" t="n">
        <f aca="false">C296-D296</f>
        <v>23</v>
      </c>
    </row>
    <row r="297" customFormat="false" ht="15" hidden="false" customHeight="false" outlineLevel="0" collapsed="false">
      <c r="A297" s="4" t="n">
        <v>6</v>
      </c>
      <c r="B297" s="4" t="n">
        <v>193</v>
      </c>
      <c r="C297" s="4" t="n">
        <v>223</v>
      </c>
      <c r="D297" s="4" t="n">
        <v>196</v>
      </c>
      <c r="E297" s="6" t="n">
        <v>18.1349420010931</v>
      </c>
      <c r="F297" s="6" t="n">
        <f aca="false">D297+E297</f>
        <v>214.134942001093</v>
      </c>
      <c r="G297" s="6" t="n">
        <f aca="false">F297-C297</f>
        <v>-8.86505799890693</v>
      </c>
      <c r="H297" s="4" t="str">
        <f aca="false">IF(G297&gt;2,"LATE",IF(G297&lt;-13,"EARLY","IN"))</f>
        <v>IN</v>
      </c>
      <c r="I297" s="4" t="n">
        <f aca="false">C297-D297</f>
        <v>27</v>
      </c>
    </row>
    <row r="298" customFormat="false" ht="15" hidden="false" customHeight="false" outlineLevel="0" collapsed="false">
      <c r="A298" s="4" t="n">
        <v>6</v>
      </c>
      <c r="B298" s="4" t="n">
        <v>196</v>
      </c>
      <c r="C298" s="4" t="n">
        <v>226</v>
      </c>
      <c r="D298" s="4" t="n">
        <v>210</v>
      </c>
      <c r="E298" s="6" t="n">
        <v>15.9764446824322</v>
      </c>
      <c r="F298" s="6" t="n">
        <f aca="false">D298+E298</f>
        <v>225.976444682432</v>
      </c>
      <c r="G298" s="6" t="n">
        <f aca="false">F298-C298</f>
        <v>-0.0235553175677978</v>
      </c>
      <c r="H298" s="4" t="str">
        <f aca="false">IF(G298&gt;2,"LATE",IF(G298&lt;-13,"EARLY","IN"))</f>
        <v>IN</v>
      </c>
      <c r="I298" s="4" t="n">
        <f aca="false">C298-D298</f>
        <v>16</v>
      </c>
    </row>
    <row r="299" customFormat="false" ht="15" hidden="false" customHeight="false" outlineLevel="0" collapsed="false">
      <c r="A299" s="4" t="n">
        <v>6</v>
      </c>
      <c r="B299" s="4" t="n">
        <v>202</v>
      </c>
      <c r="C299" s="4" t="n">
        <v>236</v>
      </c>
      <c r="D299" s="4" t="n">
        <v>212</v>
      </c>
      <c r="E299" s="6" t="n">
        <v>17.8504249126086</v>
      </c>
      <c r="F299" s="6" t="n">
        <f aca="false">D299+E299</f>
        <v>229.850424912609</v>
      </c>
      <c r="G299" s="6" t="n">
        <f aca="false">F299-C299</f>
        <v>-6.14957508739136</v>
      </c>
      <c r="H299" s="4" t="str">
        <f aca="false">IF(G299&gt;2,"LATE",IF(G299&lt;-13,"EARLY","IN"))</f>
        <v>IN</v>
      </c>
      <c r="I299" s="4" t="n">
        <f aca="false">C299-D299</f>
        <v>24</v>
      </c>
    </row>
    <row r="300" customFormat="false" ht="15" hidden="false" customHeight="false" outlineLevel="0" collapsed="false">
      <c r="A300" s="4" t="n">
        <v>6</v>
      </c>
      <c r="B300" s="4" t="n">
        <v>214</v>
      </c>
      <c r="C300" s="4" t="n">
        <v>150</v>
      </c>
      <c r="D300" s="4" t="n">
        <v>135</v>
      </c>
      <c r="E300" s="6" t="n">
        <v>11.002565452486</v>
      </c>
      <c r="F300" s="6" t="n">
        <f aca="false">D300+E300</f>
        <v>146.002565452486</v>
      </c>
      <c r="G300" s="6" t="n">
        <f aca="false">F300-C300</f>
        <v>-3.99743454751396</v>
      </c>
      <c r="H300" s="4" t="str">
        <f aca="false">IF(G300&gt;2,"LATE",IF(G300&lt;-13,"EARLY","IN"))</f>
        <v>IN</v>
      </c>
      <c r="I300" s="4" t="n">
        <f aca="false">C300-D300</f>
        <v>15</v>
      </c>
    </row>
    <row r="301" customFormat="false" ht="15" hidden="false" customHeight="false" outlineLevel="0" collapsed="false">
      <c r="A301" s="4" t="n">
        <v>6</v>
      </c>
      <c r="B301" s="4" t="n">
        <v>215</v>
      </c>
      <c r="C301" s="4" t="n">
        <v>156</v>
      </c>
      <c r="D301" s="4" t="n">
        <v>142</v>
      </c>
      <c r="E301" s="6" t="n">
        <v>9.73288013016321</v>
      </c>
      <c r="F301" s="6" t="n">
        <f aca="false">D301+E301</f>
        <v>151.732880130163</v>
      </c>
      <c r="G301" s="6" t="n">
        <f aca="false">F301-C301</f>
        <v>-4.26711986983679</v>
      </c>
      <c r="H301" s="4" t="str">
        <f aca="false">IF(G301&gt;2,"LATE",IF(G301&lt;-13,"EARLY","IN"))</f>
        <v>IN</v>
      </c>
      <c r="I301" s="4" t="n">
        <f aca="false">C301-D301</f>
        <v>14</v>
      </c>
    </row>
    <row r="302" customFormat="false" ht="15" hidden="false" customHeight="false" outlineLevel="0" collapsed="false">
      <c r="A302" s="4" t="n">
        <v>7</v>
      </c>
      <c r="B302" s="4" t="n">
        <v>5</v>
      </c>
      <c r="C302" s="4" t="n">
        <v>357</v>
      </c>
      <c r="D302" s="4" t="n">
        <v>321</v>
      </c>
      <c r="E302" s="6" t="n">
        <v>17.6165850264772</v>
      </c>
      <c r="F302" s="6" t="n">
        <f aca="false">D302+E302</f>
        <v>338.616585026477</v>
      </c>
      <c r="G302" s="6" t="n">
        <f aca="false">F302-C302</f>
        <v>-18.3834149735228</v>
      </c>
      <c r="H302" s="4" t="str">
        <f aca="false">IF(G302&gt;2,"LATE",IF(G302&lt;-13,"EARLY","IN"))</f>
        <v>EARLY</v>
      </c>
      <c r="I302" s="4" t="n">
        <f aca="false">C302-D302</f>
        <v>36</v>
      </c>
    </row>
    <row r="303" customFormat="false" ht="15" hidden="false" customHeight="false" outlineLevel="0" collapsed="false">
      <c r="A303" s="4" t="n">
        <v>7</v>
      </c>
      <c r="B303" s="4" t="n">
        <v>9</v>
      </c>
      <c r="C303" s="4" t="n">
        <v>181</v>
      </c>
      <c r="D303" s="4" t="n">
        <v>154</v>
      </c>
      <c r="E303" s="6" t="n">
        <v>15.9704484935833</v>
      </c>
      <c r="F303" s="6" t="n">
        <f aca="false">D303+E303</f>
        <v>169.970448493583</v>
      </c>
      <c r="G303" s="6" t="n">
        <f aca="false">F303-C303</f>
        <v>-11.0295515064167</v>
      </c>
      <c r="H303" s="4" t="str">
        <f aca="false">IF(G303&gt;2,"LATE",IF(G303&lt;-13,"EARLY","IN"))</f>
        <v>IN</v>
      </c>
      <c r="I303" s="4" t="n">
        <f aca="false">C303-D303</f>
        <v>27</v>
      </c>
    </row>
    <row r="304" customFormat="false" ht="15" hidden="false" customHeight="false" outlineLevel="0" collapsed="false">
      <c r="A304" s="4" t="n">
        <v>7</v>
      </c>
      <c r="B304" s="4" t="n">
        <v>10</v>
      </c>
      <c r="C304" s="4" t="n">
        <v>228</v>
      </c>
      <c r="D304" s="4" t="n">
        <v>207</v>
      </c>
      <c r="E304" s="6" t="n">
        <v>17.4840135962755</v>
      </c>
      <c r="F304" s="6" t="n">
        <f aca="false">D304+E304</f>
        <v>224.484013596276</v>
      </c>
      <c r="G304" s="6" t="n">
        <f aca="false">F304-C304</f>
        <v>-3.51598640372447</v>
      </c>
      <c r="H304" s="4" t="str">
        <f aca="false">IF(G304&gt;2,"LATE",IF(G304&lt;-13,"EARLY","IN"))</f>
        <v>IN</v>
      </c>
      <c r="I304" s="4" t="n">
        <f aca="false">C304-D304</f>
        <v>21</v>
      </c>
    </row>
    <row r="305" customFormat="false" ht="15" hidden="false" customHeight="false" outlineLevel="0" collapsed="false">
      <c r="A305" s="4" t="n">
        <v>7</v>
      </c>
      <c r="B305" s="4" t="n">
        <v>13</v>
      </c>
      <c r="C305" s="4" t="n">
        <v>210</v>
      </c>
      <c r="D305" s="4" t="n">
        <v>190</v>
      </c>
      <c r="E305" s="6" t="n">
        <v>15.9356907672998</v>
      </c>
      <c r="F305" s="6" t="n">
        <f aca="false">D305+E305</f>
        <v>205.9356907673</v>
      </c>
      <c r="G305" s="6" t="n">
        <f aca="false">F305-C305</f>
        <v>-4.0643092327002</v>
      </c>
      <c r="H305" s="4" t="str">
        <f aca="false">IF(G305&gt;2,"LATE",IF(G305&lt;-13,"EARLY","IN"))</f>
        <v>IN</v>
      </c>
      <c r="I305" s="4" t="n">
        <f aca="false">C305-D305</f>
        <v>20</v>
      </c>
    </row>
    <row r="306" customFormat="false" ht="15" hidden="false" customHeight="false" outlineLevel="0" collapsed="false">
      <c r="A306" s="4" t="n">
        <v>7</v>
      </c>
      <c r="B306" s="4" t="n">
        <v>15</v>
      </c>
      <c r="C306" s="4" t="n">
        <v>178</v>
      </c>
      <c r="D306" s="4" t="n">
        <v>160</v>
      </c>
      <c r="E306" s="6" t="n">
        <v>15.2360898295111</v>
      </c>
      <c r="F306" s="6" t="n">
        <f aca="false">D306+E306</f>
        <v>175.236089829511</v>
      </c>
      <c r="G306" s="6" t="n">
        <f aca="false">F306-C306</f>
        <v>-2.76391017048888</v>
      </c>
      <c r="H306" s="4" t="str">
        <f aca="false">IF(G306&gt;2,"LATE",IF(G306&lt;-13,"EARLY","IN"))</f>
        <v>IN</v>
      </c>
      <c r="I306" s="4" t="n">
        <f aca="false">C306-D306</f>
        <v>18</v>
      </c>
    </row>
    <row r="307" customFormat="false" ht="15" hidden="false" customHeight="false" outlineLevel="0" collapsed="false">
      <c r="A307" s="4" t="n">
        <v>7</v>
      </c>
      <c r="B307" s="4" t="n">
        <v>17</v>
      </c>
      <c r="C307" s="4" t="n">
        <v>228</v>
      </c>
      <c r="D307" s="4" t="n">
        <v>203</v>
      </c>
      <c r="E307" s="6" t="n">
        <v>15.6579875712317</v>
      </c>
      <c r="F307" s="6" t="n">
        <f aca="false">D307+E307</f>
        <v>218.657987571232</v>
      </c>
      <c r="G307" s="6" t="n">
        <f aca="false">F307-C307</f>
        <v>-9.3420124287683</v>
      </c>
      <c r="H307" s="4" t="str">
        <f aca="false">IF(G307&gt;2,"LATE",IF(G307&lt;-13,"EARLY","IN"))</f>
        <v>IN</v>
      </c>
      <c r="I307" s="4" t="n">
        <f aca="false">C307-D307</f>
        <v>25</v>
      </c>
    </row>
    <row r="308" customFormat="false" ht="15" hidden="false" customHeight="false" outlineLevel="0" collapsed="false">
      <c r="A308" s="4" t="n">
        <v>7</v>
      </c>
      <c r="B308" s="4" t="n">
        <v>18</v>
      </c>
      <c r="C308" s="4" t="n">
        <v>196</v>
      </c>
      <c r="D308" s="4" t="n">
        <v>176</v>
      </c>
      <c r="E308" s="6" t="n">
        <v>15.7681055826376</v>
      </c>
      <c r="F308" s="6" t="n">
        <f aca="false">D308+E308</f>
        <v>191.768105582638</v>
      </c>
      <c r="G308" s="6" t="n">
        <f aca="false">F308-C308</f>
        <v>-4.23189441736244</v>
      </c>
      <c r="H308" s="4" t="str">
        <f aca="false">IF(G308&gt;2,"LATE",IF(G308&lt;-13,"EARLY","IN"))</f>
        <v>IN</v>
      </c>
      <c r="I308" s="4" t="n">
        <f aca="false">C308-D308</f>
        <v>20</v>
      </c>
    </row>
    <row r="309" customFormat="false" ht="15" hidden="false" customHeight="false" outlineLevel="0" collapsed="false">
      <c r="A309" s="4" t="n">
        <v>7</v>
      </c>
      <c r="B309" s="4" t="n">
        <v>23</v>
      </c>
      <c r="C309" s="4" t="n">
        <v>213</v>
      </c>
      <c r="D309" s="4" t="n">
        <v>190</v>
      </c>
      <c r="E309" s="6" t="n">
        <v>18.5915882369231</v>
      </c>
      <c r="F309" s="6" t="n">
        <f aca="false">D309+E309</f>
        <v>208.591588236923</v>
      </c>
      <c r="G309" s="6" t="n">
        <f aca="false">F309-C309</f>
        <v>-4.40841176307694</v>
      </c>
      <c r="H309" s="4" t="str">
        <f aca="false">IF(G309&gt;2,"LATE",IF(G309&lt;-13,"EARLY","IN"))</f>
        <v>IN</v>
      </c>
      <c r="I309" s="4" t="n">
        <f aca="false">C309-D309</f>
        <v>23</v>
      </c>
    </row>
    <row r="310" customFormat="false" ht="15" hidden="false" customHeight="false" outlineLevel="0" collapsed="false">
      <c r="A310" s="4" t="n">
        <v>7</v>
      </c>
      <c r="B310" s="4" t="n">
        <v>32</v>
      </c>
      <c r="C310" s="4" t="n">
        <v>193</v>
      </c>
      <c r="D310" s="4" t="n">
        <v>177</v>
      </c>
      <c r="E310" s="6" t="n">
        <v>16.6185650123582</v>
      </c>
      <c r="F310" s="6" t="n">
        <f aca="false">D310+E310</f>
        <v>193.618565012358</v>
      </c>
      <c r="G310" s="6" t="n">
        <f aca="false">F310-C310</f>
        <v>0.618565012358204</v>
      </c>
      <c r="H310" s="4" t="str">
        <f aca="false">IF(G310&gt;2,"LATE",IF(G310&lt;-13,"EARLY","IN"))</f>
        <v>IN</v>
      </c>
      <c r="I310" s="4" t="n">
        <f aca="false">C310-D310</f>
        <v>16</v>
      </c>
    </row>
    <row r="311" customFormat="false" ht="15" hidden="false" customHeight="false" outlineLevel="0" collapsed="false">
      <c r="A311" s="4" t="n">
        <v>7</v>
      </c>
      <c r="B311" s="4" t="n">
        <v>35</v>
      </c>
      <c r="C311" s="4" t="n">
        <v>188</v>
      </c>
      <c r="D311" s="4" t="n">
        <v>165</v>
      </c>
      <c r="E311" s="6" t="n">
        <v>18.5050417671485</v>
      </c>
      <c r="F311" s="6" t="n">
        <f aca="false">D311+E311</f>
        <v>183.505041767149</v>
      </c>
      <c r="G311" s="6" t="n">
        <f aca="false">F311-C311</f>
        <v>-4.49495823285147</v>
      </c>
      <c r="H311" s="4" t="str">
        <f aca="false">IF(G311&gt;2,"LATE",IF(G311&lt;-13,"EARLY","IN"))</f>
        <v>IN</v>
      </c>
      <c r="I311" s="4" t="n">
        <f aca="false">C311-D311</f>
        <v>23</v>
      </c>
    </row>
    <row r="312" customFormat="false" ht="15" hidden="false" customHeight="false" outlineLevel="0" collapsed="false">
      <c r="A312" s="4" t="n">
        <v>7</v>
      </c>
      <c r="B312" s="4" t="n">
        <v>36</v>
      </c>
      <c r="C312" s="4" t="n">
        <v>147</v>
      </c>
      <c r="D312" s="4" t="n">
        <v>127</v>
      </c>
      <c r="E312" s="6" t="n">
        <v>15.8967016860654</v>
      </c>
      <c r="F312" s="6" t="n">
        <f aca="false">D312+E312</f>
        <v>142.896701686065</v>
      </c>
      <c r="G312" s="6" t="n">
        <f aca="false">F312-C312</f>
        <v>-4.1032983139346</v>
      </c>
      <c r="H312" s="4" t="str">
        <f aca="false">IF(G312&gt;2,"LATE",IF(G312&lt;-13,"EARLY","IN"))</f>
        <v>IN</v>
      </c>
      <c r="I312" s="4" t="n">
        <f aca="false">C312-D312</f>
        <v>20</v>
      </c>
    </row>
    <row r="313" customFormat="false" ht="15" hidden="false" customHeight="false" outlineLevel="0" collapsed="false">
      <c r="A313" s="4" t="n">
        <v>7</v>
      </c>
      <c r="B313" s="4" t="n">
        <v>37</v>
      </c>
      <c r="C313" s="4" t="n">
        <v>177</v>
      </c>
      <c r="D313" s="4" t="n">
        <v>144</v>
      </c>
      <c r="E313" s="6" t="n">
        <v>19.4308794984546</v>
      </c>
      <c r="F313" s="6" t="n">
        <f aca="false">D313+E313</f>
        <v>163.430879498455</v>
      </c>
      <c r="G313" s="6" t="n">
        <f aca="false">F313-C313</f>
        <v>-13.5691205015454</v>
      </c>
      <c r="H313" s="4" t="str">
        <f aca="false">IF(G313&gt;2,"LATE",IF(G313&lt;-13,"EARLY","IN"))</f>
        <v>EARLY</v>
      </c>
      <c r="I313" s="4" t="n">
        <f aca="false">C313-D313</f>
        <v>33</v>
      </c>
    </row>
    <row r="314" customFormat="false" ht="15" hidden="false" customHeight="false" outlineLevel="0" collapsed="false">
      <c r="A314" s="4" t="n">
        <v>7</v>
      </c>
      <c r="B314" s="4" t="n">
        <v>47</v>
      </c>
      <c r="C314" s="4" t="n">
        <v>227</v>
      </c>
      <c r="D314" s="4" t="n">
        <v>203</v>
      </c>
      <c r="E314" s="6" t="n">
        <v>18.6360092640075</v>
      </c>
      <c r="F314" s="6" t="n">
        <f aca="false">D314+E314</f>
        <v>221.636009264008</v>
      </c>
      <c r="G314" s="6" t="n">
        <f aca="false">F314-C314</f>
        <v>-5.3639907359925</v>
      </c>
      <c r="H314" s="4" t="str">
        <f aca="false">IF(G314&gt;2,"LATE",IF(G314&lt;-13,"EARLY","IN"))</f>
        <v>IN</v>
      </c>
      <c r="I314" s="4" t="n">
        <f aca="false">C314-D314</f>
        <v>24</v>
      </c>
    </row>
    <row r="315" customFormat="false" ht="15" hidden="false" customHeight="false" outlineLevel="0" collapsed="false">
      <c r="A315" s="4" t="n">
        <v>7</v>
      </c>
      <c r="B315" s="4" t="n">
        <v>53</v>
      </c>
      <c r="C315" s="4" t="n">
        <v>259</v>
      </c>
      <c r="D315" s="4" t="n">
        <v>242</v>
      </c>
      <c r="E315" s="6" t="n">
        <v>14.1309477312685</v>
      </c>
      <c r="F315" s="6" t="n">
        <f aca="false">D315+E315</f>
        <v>256.130947731269</v>
      </c>
      <c r="G315" s="6" t="n">
        <f aca="false">F315-C315</f>
        <v>-2.86905226873148</v>
      </c>
      <c r="H315" s="4" t="str">
        <f aca="false">IF(G315&gt;2,"LATE",IF(G315&lt;-13,"EARLY","IN"))</f>
        <v>IN</v>
      </c>
      <c r="I315" s="4" t="n">
        <f aca="false">C315-D315</f>
        <v>17</v>
      </c>
    </row>
    <row r="316" customFormat="false" ht="15" hidden="false" customHeight="false" outlineLevel="0" collapsed="false">
      <c r="A316" s="4" t="n">
        <v>7</v>
      </c>
      <c r="B316" s="4" t="n">
        <v>67</v>
      </c>
      <c r="C316" s="4" t="n">
        <v>145</v>
      </c>
      <c r="D316" s="4" t="n">
        <v>124</v>
      </c>
      <c r="E316" s="6" t="n">
        <v>16.2094322167848</v>
      </c>
      <c r="F316" s="6" t="n">
        <f aca="false">D316+E316</f>
        <v>140.209432216785</v>
      </c>
      <c r="G316" s="6" t="n">
        <f aca="false">F316-C316</f>
        <v>-4.79056778321518</v>
      </c>
      <c r="H316" s="4" t="str">
        <f aca="false">IF(G316&gt;2,"LATE",IF(G316&lt;-13,"EARLY","IN"))</f>
        <v>IN</v>
      </c>
      <c r="I316" s="4" t="n">
        <f aca="false">C316-D316</f>
        <v>21</v>
      </c>
    </row>
    <row r="317" customFormat="false" ht="15" hidden="false" customHeight="false" outlineLevel="0" collapsed="false">
      <c r="A317" s="4" t="n">
        <v>7</v>
      </c>
      <c r="B317" s="4" t="n">
        <v>70</v>
      </c>
      <c r="C317" s="4" t="n">
        <v>175</v>
      </c>
      <c r="D317" s="4" t="n">
        <v>158</v>
      </c>
      <c r="E317" s="6" t="n">
        <v>15.1252895151128</v>
      </c>
      <c r="F317" s="6" t="n">
        <f aca="false">D317+E317</f>
        <v>173.125289515113</v>
      </c>
      <c r="G317" s="6" t="n">
        <f aca="false">F317-C317</f>
        <v>-1.8747104848872</v>
      </c>
      <c r="H317" s="4" t="str">
        <f aca="false">IF(G317&gt;2,"LATE",IF(G317&lt;-13,"EARLY","IN"))</f>
        <v>IN</v>
      </c>
      <c r="I317" s="4" t="n">
        <f aca="false">C317-D317</f>
        <v>17</v>
      </c>
    </row>
    <row r="318" customFormat="false" ht="15" hidden="false" customHeight="false" outlineLevel="0" collapsed="false">
      <c r="A318" s="4" t="n">
        <v>7</v>
      </c>
      <c r="B318" s="4" t="n">
        <v>76</v>
      </c>
      <c r="C318" s="4" t="n">
        <v>128</v>
      </c>
      <c r="D318" s="4" t="n">
        <v>112</v>
      </c>
      <c r="E318" s="6" t="n">
        <v>16.492322351495</v>
      </c>
      <c r="F318" s="6" t="n">
        <f aca="false">D318+E318</f>
        <v>128.492322351495</v>
      </c>
      <c r="G318" s="6" t="n">
        <f aca="false">F318-C318</f>
        <v>0.492322351494977</v>
      </c>
      <c r="H318" s="4" t="str">
        <f aca="false">IF(G318&gt;2,"LATE",IF(G318&lt;-13,"EARLY","IN"))</f>
        <v>IN</v>
      </c>
      <c r="I318" s="4" t="n">
        <f aca="false">C318-D318</f>
        <v>16</v>
      </c>
    </row>
    <row r="319" customFormat="false" ht="15" hidden="false" customHeight="false" outlineLevel="0" collapsed="false">
      <c r="A319" s="4" t="n">
        <v>7</v>
      </c>
      <c r="B319" s="4" t="n">
        <v>83</v>
      </c>
      <c r="C319" s="4" t="n">
        <v>231</v>
      </c>
      <c r="D319" s="4" t="n">
        <v>211</v>
      </c>
      <c r="E319" s="6" t="n">
        <v>14.9414659003868</v>
      </c>
      <c r="F319" s="6" t="n">
        <f aca="false">D319+E319</f>
        <v>225.941465900387</v>
      </c>
      <c r="G319" s="6" t="n">
        <f aca="false">F319-C319</f>
        <v>-5.05853409961316</v>
      </c>
      <c r="H319" s="4" t="str">
        <f aca="false">IF(G319&gt;2,"LATE",IF(G319&lt;-13,"EARLY","IN"))</f>
        <v>IN</v>
      </c>
      <c r="I319" s="4" t="n">
        <f aca="false">C319-D319</f>
        <v>20</v>
      </c>
    </row>
    <row r="320" customFormat="false" ht="15" hidden="false" customHeight="false" outlineLevel="0" collapsed="false">
      <c r="A320" s="4" t="n">
        <v>7</v>
      </c>
      <c r="B320" s="4" t="n">
        <v>90</v>
      </c>
      <c r="C320" s="4" t="n">
        <v>190</v>
      </c>
      <c r="D320" s="4" t="n">
        <v>168</v>
      </c>
      <c r="E320" s="6" t="n">
        <v>13.7455319529111</v>
      </c>
      <c r="F320" s="6" t="n">
        <f aca="false">D320+E320</f>
        <v>181.745531952911</v>
      </c>
      <c r="G320" s="6" t="n">
        <f aca="false">F320-C320</f>
        <v>-8.25446804708886</v>
      </c>
      <c r="H320" s="4" t="str">
        <f aca="false">IF(G320&gt;2,"LATE",IF(G320&lt;-13,"EARLY","IN"))</f>
        <v>IN</v>
      </c>
      <c r="I320" s="4" t="n">
        <f aca="false">C320-D320</f>
        <v>22</v>
      </c>
    </row>
    <row r="321" customFormat="false" ht="15" hidden="false" customHeight="false" outlineLevel="0" collapsed="false">
      <c r="A321" s="4" t="n">
        <v>7</v>
      </c>
      <c r="B321" s="4" t="n">
        <v>94</v>
      </c>
      <c r="C321" s="4" t="n">
        <v>209</v>
      </c>
      <c r="D321" s="4" t="n">
        <v>190</v>
      </c>
      <c r="E321" s="6" t="n">
        <v>16.5726082314562</v>
      </c>
      <c r="F321" s="6" t="n">
        <f aca="false">D321+E321</f>
        <v>206.572608231456</v>
      </c>
      <c r="G321" s="6" t="n">
        <f aca="false">F321-C321</f>
        <v>-2.42739176854377</v>
      </c>
      <c r="H321" s="4" t="str">
        <f aca="false">IF(G321&gt;2,"LATE",IF(G321&lt;-13,"EARLY","IN"))</f>
        <v>IN</v>
      </c>
      <c r="I321" s="4" t="n">
        <f aca="false">C321-D321</f>
        <v>19</v>
      </c>
    </row>
    <row r="322" customFormat="false" ht="15" hidden="false" customHeight="false" outlineLevel="0" collapsed="false">
      <c r="A322" s="4" t="n">
        <v>7</v>
      </c>
      <c r="B322" s="4" t="n">
        <v>105</v>
      </c>
      <c r="C322" s="4" t="n">
        <v>149</v>
      </c>
      <c r="D322" s="4" t="n">
        <v>135</v>
      </c>
      <c r="E322" s="6" t="n">
        <v>16.2724470891353</v>
      </c>
      <c r="F322" s="6" t="n">
        <f aca="false">D322+E322</f>
        <v>151.272447089135</v>
      </c>
      <c r="G322" s="6" t="n">
        <f aca="false">F322-C322</f>
        <v>2.27244708913531</v>
      </c>
      <c r="H322" s="4" t="str">
        <f aca="false">IF(G322&gt;2,"LATE",IF(G322&lt;-13,"EARLY","IN"))</f>
        <v>LATE</v>
      </c>
      <c r="I322" s="4" t="n">
        <f aca="false">C322-D322</f>
        <v>14</v>
      </c>
    </row>
    <row r="323" customFormat="false" ht="15" hidden="false" customHeight="false" outlineLevel="0" collapsed="false">
      <c r="A323" s="4" t="n">
        <v>7</v>
      </c>
      <c r="B323" s="4" t="n">
        <v>110</v>
      </c>
      <c r="C323" s="4" t="n">
        <v>277</v>
      </c>
      <c r="D323" s="4" t="n">
        <v>249</v>
      </c>
      <c r="E323" s="6" t="n">
        <v>15.9423976431692</v>
      </c>
      <c r="F323" s="6" t="n">
        <f aca="false">D323+E323</f>
        <v>264.942397643169</v>
      </c>
      <c r="G323" s="6" t="n">
        <f aca="false">F323-C323</f>
        <v>-12.0576023568308</v>
      </c>
      <c r="H323" s="4" t="str">
        <f aca="false">IF(G323&gt;2,"LATE",IF(G323&lt;-13,"EARLY","IN"))</f>
        <v>IN</v>
      </c>
      <c r="I323" s="4" t="n">
        <f aca="false">C323-D323</f>
        <v>28</v>
      </c>
    </row>
    <row r="324" customFormat="false" ht="15" hidden="false" customHeight="false" outlineLevel="0" collapsed="false">
      <c r="A324" s="4" t="n">
        <v>7</v>
      </c>
      <c r="B324" s="4" t="n">
        <v>112</v>
      </c>
      <c r="C324" s="4" t="n">
        <v>226</v>
      </c>
      <c r="D324" s="4" t="n">
        <v>206</v>
      </c>
      <c r="E324" s="6" t="n">
        <v>17.8401746632997</v>
      </c>
      <c r="F324" s="6" t="n">
        <f aca="false">D324+E324</f>
        <v>223.8401746633</v>
      </c>
      <c r="G324" s="6" t="n">
        <f aca="false">F324-C324</f>
        <v>-2.15982533670029</v>
      </c>
      <c r="H324" s="4" t="str">
        <f aca="false">IF(G324&gt;2,"LATE",IF(G324&lt;-13,"EARLY","IN"))</f>
        <v>IN</v>
      </c>
      <c r="I324" s="4" t="n">
        <f aca="false">C324-D324</f>
        <v>20</v>
      </c>
    </row>
    <row r="325" customFormat="false" ht="15" hidden="false" customHeight="false" outlineLevel="0" collapsed="false">
      <c r="A325" s="4" t="n">
        <v>7</v>
      </c>
      <c r="B325" s="4" t="n">
        <v>113</v>
      </c>
      <c r="C325" s="4" t="n">
        <v>160</v>
      </c>
      <c r="D325" s="4" t="n">
        <v>137</v>
      </c>
      <c r="E325" s="6" t="n">
        <v>19.3403974686788</v>
      </c>
      <c r="F325" s="6" t="n">
        <f aca="false">D325+E325</f>
        <v>156.340397468679</v>
      </c>
      <c r="G325" s="6" t="n">
        <f aca="false">F325-C325</f>
        <v>-3.65960253132121</v>
      </c>
      <c r="H325" s="4" t="str">
        <f aca="false">IF(G325&gt;2,"LATE",IF(G325&lt;-13,"EARLY","IN"))</f>
        <v>IN</v>
      </c>
      <c r="I325" s="4" t="n">
        <f aca="false">C325-D325</f>
        <v>23</v>
      </c>
    </row>
    <row r="326" customFormat="false" ht="15" hidden="false" customHeight="false" outlineLevel="0" collapsed="false">
      <c r="A326" s="4" t="n">
        <v>7</v>
      </c>
      <c r="B326" s="4" t="n">
        <v>117</v>
      </c>
      <c r="C326" s="4" t="n">
        <v>212</v>
      </c>
      <c r="D326" s="4" t="n">
        <v>194</v>
      </c>
      <c r="E326" s="6" t="n">
        <v>15.4814592344912</v>
      </c>
      <c r="F326" s="6" t="n">
        <f aca="false">D326+E326</f>
        <v>209.481459234491</v>
      </c>
      <c r="G326" s="6" t="n">
        <f aca="false">F326-C326</f>
        <v>-2.51854076550879</v>
      </c>
      <c r="H326" s="4" t="str">
        <f aca="false">IF(G326&gt;2,"LATE",IF(G326&lt;-13,"EARLY","IN"))</f>
        <v>IN</v>
      </c>
      <c r="I326" s="4" t="n">
        <f aca="false">C326-D326</f>
        <v>18</v>
      </c>
    </row>
    <row r="327" customFormat="false" ht="15" hidden="false" customHeight="false" outlineLevel="0" collapsed="false">
      <c r="A327" s="4" t="n">
        <v>7</v>
      </c>
      <c r="B327" s="4" t="n">
        <v>118</v>
      </c>
      <c r="C327" s="4" t="n">
        <v>188</v>
      </c>
      <c r="D327" s="4" t="n">
        <v>166</v>
      </c>
      <c r="E327" s="6" t="n">
        <v>14.8737614777869</v>
      </c>
      <c r="F327" s="6" t="n">
        <f aca="false">D327+E327</f>
        <v>180.873761477787</v>
      </c>
      <c r="G327" s="6" t="n">
        <f aca="false">F327-C327</f>
        <v>-7.1262385222131</v>
      </c>
      <c r="H327" s="4" t="str">
        <f aca="false">IF(G327&gt;2,"LATE",IF(G327&lt;-13,"EARLY","IN"))</f>
        <v>IN</v>
      </c>
      <c r="I327" s="4" t="n">
        <f aca="false">C327-D327</f>
        <v>22</v>
      </c>
    </row>
    <row r="328" customFormat="false" ht="15" hidden="false" customHeight="false" outlineLevel="0" collapsed="false">
      <c r="A328" s="4" t="n">
        <v>7</v>
      </c>
      <c r="B328" s="4" t="n">
        <v>123</v>
      </c>
      <c r="C328" s="4" t="n">
        <v>254</v>
      </c>
      <c r="D328" s="4" t="n">
        <v>229</v>
      </c>
      <c r="E328" s="6" t="n">
        <v>16.9698646372339</v>
      </c>
      <c r="F328" s="6" t="n">
        <f aca="false">D328+E328</f>
        <v>245.969864637234</v>
      </c>
      <c r="G328" s="6" t="n">
        <f aca="false">F328-C328</f>
        <v>-8.03013536276606</v>
      </c>
      <c r="H328" s="4" t="str">
        <f aca="false">IF(G328&gt;2,"LATE",IF(G328&lt;-13,"EARLY","IN"))</f>
        <v>IN</v>
      </c>
      <c r="I328" s="4" t="n">
        <f aca="false">C328-D328</f>
        <v>25</v>
      </c>
    </row>
    <row r="329" customFormat="false" ht="15" hidden="false" customHeight="false" outlineLevel="0" collapsed="false">
      <c r="A329" s="4" t="n">
        <v>7</v>
      </c>
      <c r="B329" s="4" t="n">
        <v>128</v>
      </c>
      <c r="C329" s="4" t="n">
        <v>159</v>
      </c>
      <c r="D329" s="4" t="n">
        <v>145</v>
      </c>
      <c r="E329" s="6" t="n">
        <v>13.9535229638139</v>
      </c>
      <c r="F329" s="6" t="n">
        <f aca="false">D329+E329</f>
        <v>158.953522963814</v>
      </c>
      <c r="G329" s="6" t="n">
        <f aca="false">F329-C329</f>
        <v>-0.0464770361861042</v>
      </c>
      <c r="H329" s="4" t="str">
        <f aca="false">IF(G329&gt;2,"LATE",IF(G329&lt;-13,"EARLY","IN"))</f>
        <v>IN</v>
      </c>
      <c r="I329" s="4" t="n">
        <f aca="false">C329-D329</f>
        <v>14</v>
      </c>
    </row>
    <row r="330" customFormat="false" ht="15" hidden="false" customHeight="false" outlineLevel="0" collapsed="false">
      <c r="A330" s="4" t="n">
        <v>7</v>
      </c>
      <c r="B330" s="4" t="n">
        <v>134</v>
      </c>
      <c r="C330" s="4" t="n">
        <v>173</v>
      </c>
      <c r="D330" s="4" t="n">
        <v>150</v>
      </c>
      <c r="E330" s="6" t="n">
        <v>16.5708547868075</v>
      </c>
      <c r="F330" s="6" t="n">
        <f aca="false">D330+E330</f>
        <v>166.570854786808</v>
      </c>
      <c r="G330" s="6" t="n">
        <f aca="false">F330-C330</f>
        <v>-6.4291452131925</v>
      </c>
      <c r="H330" s="4" t="str">
        <f aca="false">IF(G330&gt;2,"LATE",IF(G330&lt;-13,"EARLY","IN"))</f>
        <v>IN</v>
      </c>
      <c r="I330" s="4" t="n">
        <f aca="false">C330-D330</f>
        <v>23</v>
      </c>
    </row>
    <row r="331" customFormat="false" ht="15" hidden="false" customHeight="false" outlineLevel="0" collapsed="false">
      <c r="A331" s="4" t="n">
        <v>7</v>
      </c>
      <c r="B331" s="4" t="n">
        <v>141</v>
      </c>
      <c r="C331" s="4" t="n">
        <v>277</v>
      </c>
      <c r="D331" s="4" t="n">
        <v>254</v>
      </c>
      <c r="E331" s="6" t="n">
        <v>15.4696256018077</v>
      </c>
      <c r="F331" s="6" t="n">
        <f aca="false">D331+E331</f>
        <v>269.469625601808</v>
      </c>
      <c r="G331" s="6" t="n">
        <f aca="false">F331-C331</f>
        <v>-7.53037439819224</v>
      </c>
      <c r="H331" s="4" t="str">
        <f aca="false">IF(G331&gt;2,"LATE",IF(G331&lt;-13,"EARLY","IN"))</f>
        <v>IN</v>
      </c>
      <c r="I331" s="4" t="n">
        <f aca="false">C331-D331</f>
        <v>23</v>
      </c>
    </row>
    <row r="332" customFormat="false" ht="15" hidden="false" customHeight="false" outlineLevel="0" collapsed="false">
      <c r="A332" s="4" t="n">
        <v>7</v>
      </c>
      <c r="B332" s="4" t="n">
        <v>143</v>
      </c>
      <c r="C332" s="4" t="n">
        <v>149</v>
      </c>
      <c r="D332" s="4" t="n">
        <v>138</v>
      </c>
      <c r="E332" s="6" t="n">
        <v>15.5102108665712</v>
      </c>
      <c r="F332" s="6" t="n">
        <f aca="false">D332+E332</f>
        <v>153.510210866571</v>
      </c>
      <c r="G332" s="6" t="n">
        <f aca="false">F332-C332</f>
        <v>4.51021086657116</v>
      </c>
      <c r="H332" s="4" t="str">
        <f aca="false">IF(G332&gt;2,"LATE",IF(G332&lt;-13,"EARLY","IN"))</f>
        <v>LATE</v>
      </c>
      <c r="I332" s="4" t="n">
        <f aca="false">C332-D332</f>
        <v>11</v>
      </c>
    </row>
    <row r="333" customFormat="false" ht="15" hidden="false" customHeight="false" outlineLevel="0" collapsed="false">
      <c r="A333" s="4" t="n">
        <v>7</v>
      </c>
      <c r="B333" s="4" t="n">
        <v>155</v>
      </c>
      <c r="C333" s="4" t="n">
        <v>221</v>
      </c>
      <c r="D333" s="4" t="n">
        <v>200</v>
      </c>
      <c r="E333" s="6" t="n">
        <v>17.7524072574311</v>
      </c>
      <c r="F333" s="6" t="n">
        <f aca="false">D333+E333</f>
        <v>217.752407257431</v>
      </c>
      <c r="G333" s="6" t="n">
        <f aca="false">F333-C333</f>
        <v>-3.24759274256891</v>
      </c>
      <c r="H333" s="4" t="str">
        <f aca="false">IF(G333&gt;2,"LATE",IF(G333&lt;-13,"EARLY","IN"))</f>
        <v>IN</v>
      </c>
      <c r="I333" s="4" t="n">
        <f aca="false">C333-D333</f>
        <v>21</v>
      </c>
    </row>
    <row r="334" customFormat="false" ht="15" hidden="false" customHeight="false" outlineLevel="0" collapsed="false">
      <c r="A334" s="4" t="n">
        <v>7</v>
      </c>
      <c r="B334" s="4" t="n">
        <v>156</v>
      </c>
      <c r="C334" s="4" t="n">
        <v>228</v>
      </c>
      <c r="D334" s="4" t="n">
        <v>209</v>
      </c>
      <c r="E334" s="6" t="n">
        <v>19.1664610336856</v>
      </c>
      <c r="F334" s="6" t="n">
        <f aca="false">D334+E334</f>
        <v>228.166461033686</v>
      </c>
      <c r="G334" s="6" t="n">
        <f aca="false">F334-C334</f>
        <v>0.166461033685579</v>
      </c>
      <c r="H334" s="4" t="str">
        <f aca="false">IF(G334&gt;2,"LATE",IF(G334&lt;-13,"EARLY","IN"))</f>
        <v>IN</v>
      </c>
      <c r="I334" s="4" t="n">
        <f aca="false">C334-D334</f>
        <v>19</v>
      </c>
    </row>
    <row r="335" customFormat="false" ht="15" hidden="false" customHeight="false" outlineLevel="0" collapsed="false">
      <c r="A335" s="4" t="n">
        <v>7</v>
      </c>
      <c r="B335" s="4" t="n">
        <v>157</v>
      </c>
      <c r="C335" s="4" t="n">
        <v>202</v>
      </c>
      <c r="D335" s="4" t="n">
        <v>179</v>
      </c>
      <c r="E335" s="6" t="n">
        <v>15.8551450803252</v>
      </c>
      <c r="F335" s="6" t="n">
        <f aca="false">D335+E335</f>
        <v>194.855145080325</v>
      </c>
      <c r="G335" s="6" t="n">
        <f aca="false">F335-C335</f>
        <v>-7.14485491967483</v>
      </c>
      <c r="H335" s="4" t="str">
        <f aca="false">IF(G335&gt;2,"LATE",IF(G335&lt;-13,"EARLY","IN"))</f>
        <v>IN</v>
      </c>
      <c r="I335" s="4" t="n">
        <f aca="false">C335-D335</f>
        <v>23</v>
      </c>
    </row>
    <row r="336" customFormat="false" ht="15" hidden="false" customHeight="false" outlineLevel="0" collapsed="false">
      <c r="A336" s="4" t="n">
        <v>7</v>
      </c>
      <c r="B336" s="4" t="n">
        <v>162</v>
      </c>
      <c r="C336" s="4" t="n">
        <v>202</v>
      </c>
      <c r="D336" s="4" t="n">
        <v>182</v>
      </c>
      <c r="E336" s="6" t="n">
        <v>17.7932632702882</v>
      </c>
      <c r="F336" s="6" t="n">
        <f aca="false">D336+E336</f>
        <v>199.793263270288</v>
      </c>
      <c r="G336" s="6" t="n">
        <f aca="false">F336-C336</f>
        <v>-2.20673672971182</v>
      </c>
      <c r="H336" s="4" t="str">
        <f aca="false">IF(G336&gt;2,"LATE",IF(G336&lt;-13,"EARLY","IN"))</f>
        <v>IN</v>
      </c>
      <c r="I336" s="4" t="n">
        <f aca="false">C336-D336</f>
        <v>20</v>
      </c>
    </row>
    <row r="337" customFormat="false" ht="15" hidden="false" customHeight="false" outlineLevel="0" collapsed="false">
      <c r="A337" s="4" t="n">
        <v>7</v>
      </c>
      <c r="B337" s="4" t="n">
        <v>163</v>
      </c>
      <c r="C337" s="4" t="n">
        <v>177</v>
      </c>
      <c r="D337" s="4" t="n">
        <v>161</v>
      </c>
      <c r="E337" s="6" t="n">
        <v>15.6521624336908</v>
      </c>
      <c r="F337" s="6" t="n">
        <f aca="false">D337+E337</f>
        <v>176.652162433691</v>
      </c>
      <c r="G337" s="6" t="n">
        <f aca="false">F337-C337</f>
        <v>-0.347837566309238</v>
      </c>
      <c r="H337" s="4" t="str">
        <f aca="false">IF(G337&gt;2,"LATE",IF(G337&lt;-13,"EARLY","IN"))</f>
        <v>IN</v>
      </c>
      <c r="I337" s="4" t="n">
        <f aca="false">C337-D337</f>
        <v>16</v>
      </c>
    </row>
    <row r="338" customFormat="false" ht="15" hidden="false" customHeight="false" outlineLevel="0" collapsed="false">
      <c r="A338" s="4" t="n">
        <v>7</v>
      </c>
      <c r="B338" s="4" t="n">
        <v>164</v>
      </c>
      <c r="C338" s="4" t="n">
        <v>211</v>
      </c>
      <c r="D338" s="4" t="n">
        <v>190</v>
      </c>
      <c r="E338" s="6" t="n">
        <v>15.129484844757</v>
      </c>
      <c r="F338" s="6" t="n">
        <f aca="false">D338+E338</f>
        <v>205.129484844757</v>
      </c>
      <c r="G338" s="6" t="n">
        <f aca="false">F338-C338</f>
        <v>-5.870515155243</v>
      </c>
      <c r="H338" s="4" t="str">
        <f aca="false">IF(G338&gt;2,"LATE",IF(G338&lt;-13,"EARLY","IN"))</f>
        <v>IN</v>
      </c>
      <c r="I338" s="4" t="n">
        <f aca="false">C338-D338</f>
        <v>21</v>
      </c>
    </row>
    <row r="339" customFormat="false" ht="15" hidden="false" customHeight="false" outlineLevel="0" collapsed="false">
      <c r="A339" s="4" t="n">
        <v>7</v>
      </c>
      <c r="B339" s="4" t="n">
        <v>167</v>
      </c>
      <c r="C339" s="4" t="n">
        <v>177</v>
      </c>
      <c r="D339" s="4" t="n">
        <v>164</v>
      </c>
      <c r="E339" s="6" t="n">
        <v>15.2558201128406</v>
      </c>
      <c r="F339" s="6" t="n">
        <f aca="false">D339+E339</f>
        <v>179.255820112841</v>
      </c>
      <c r="G339" s="6" t="n">
        <f aca="false">F339-C339</f>
        <v>2.25582011284061</v>
      </c>
      <c r="H339" s="4" t="str">
        <f aca="false">IF(G339&gt;2,"LATE",IF(G339&lt;-13,"EARLY","IN"))</f>
        <v>LATE</v>
      </c>
      <c r="I339" s="4" t="n">
        <f aca="false">C339-D339</f>
        <v>13</v>
      </c>
    </row>
    <row r="340" customFormat="false" ht="15" hidden="false" customHeight="false" outlineLevel="0" collapsed="false">
      <c r="A340" s="4" t="n">
        <v>7</v>
      </c>
      <c r="B340" s="4" t="n">
        <v>170</v>
      </c>
      <c r="C340" s="4" t="n">
        <v>302</v>
      </c>
      <c r="D340" s="4" t="n">
        <v>279</v>
      </c>
      <c r="E340" s="6" t="n">
        <v>18.6391012089033</v>
      </c>
      <c r="F340" s="6" t="n">
        <f aca="false">D340+E340</f>
        <v>297.639101208903</v>
      </c>
      <c r="G340" s="6" t="n">
        <f aca="false">F340-C340</f>
        <v>-4.3608987910967</v>
      </c>
      <c r="H340" s="4" t="str">
        <f aca="false">IF(G340&gt;2,"LATE",IF(G340&lt;-13,"EARLY","IN"))</f>
        <v>IN</v>
      </c>
      <c r="I340" s="4" t="n">
        <f aca="false">C340-D340</f>
        <v>23</v>
      </c>
    </row>
    <row r="341" customFormat="false" ht="15" hidden="false" customHeight="false" outlineLevel="0" collapsed="false">
      <c r="A341" s="4" t="n">
        <v>7</v>
      </c>
      <c r="B341" s="4" t="n">
        <v>173</v>
      </c>
      <c r="C341" s="4" t="n">
        <v>190</v>
      </c>
      <c r="D341" s="4" t="n">
        <v>173</v>
      </c>
      <c r="E341" s="6" t="n">
        <v>16.0268758989861</v>
      </c>
      <c r="F341" s="6" t="n">
        <f aca="false">D341+E341</f>
        <v>189.026875898986</v>
      </c>
      <c r="G341" s="6" t="n">
        <f aca="false">F341-C341</f>
        <v>-0.973124101013895</v>
      </c>
      <c r="H341" s="4" t="str">
        <f aca="false">IF(G341&gt;2,"LATE",IF(G341&lt;-13,"EARLY","IN"))</f>
        <v>IN</v>
      </c>
      <c r="I341" s="4" t="n">
        <f aca="false">C341-D341</f>
        <v>17</v>
      </c>
    </row>
    <row r="342" customFormat="false" ht="15" hidden="false" customHeight="false" outlineLevel="0" collapsed="false">
      <c r="A342" s="4" t="n">
        <v>7</v>
      </c>
      <c r="B342" s="4" t="n">
        <v>174</v>
      </c>
      <c r="C342" s="4" t="n">
        <v>178</v>
      </c>
      <c r="D342" s="4" t="n">
        <v>163</v>
      </c>
      <c r="E342" s="6" t="n">
        <v>14.6113572908565</v>
      </c>
      <c r="F342" s="6" t="n">
        <f aca="false">D342+E342</f>
        <v>177.611357290857</v>
      </c>
      <c r="G342" s="6" t="n">
        <f aca="false">F342-C342</f>
        <v>-0.388642709143483</v>
      </c>
      <c r="H342" s="4" t="str">
        <f aca="false">IF(G342&gt;2,"LATE",IF(G342&lt;-13,"EARLY","IN"))</f>
        <v>IN</v>
      </c>
      <c r="I342" s="4" t="n">
        <f aca="false">C342-D342</f>
        <v>15</v>
      </c>
    </row>
    <row r="343" customFormat="false" ht="15" hidden="false" customHeight="false" outlineLevel="0" collapsed="false">
      <c r="A343" s="4" t="n">
        <v>7</v>
      </c>
      <c r="B343" s="4" t="n">
        <v>186</v>
      </c>
      <c r="C343" s="4" t="n">
        <v>236</v>
      </c>
      <c r="D343" s="4" t="n">
        <v>214</v>
      </c>
      <c r="E343" s="6" t="n">
        <v>15.1116909072793</v>
      </c>
      <c r="F343" s="6" t="n">
        <f aca="false">D343+E343</f>
        <v>229.111690907279</v>
      </c>
      <c r="G343" s="6" t="n">
        <f aca="false">F343-C343</f>
        <v>-6.88830909272073</v>
      </c>
      <c r="H343" s="4" t="str">
        <f aca="false">IF(G343&gt;2,"LATE",IF(G343&lt;-13,"EARLY","IN"))</f>
        <v>IN</v>
      </c>
      <c r="I343" s="4" t="n">
        <f aca="false">C343-D343</f>
        <v>22</v>
      </c>
    </row>
    <row r="344" customFormat="false" ht="15" hidden="false" customHeight="false" outlineLevel="0" collapsed="false">
      <c r="A344" s="4" t="n">
        <v>7</v>
      </c>
      <c r="B344" s="4" t="n">
        <v>190</v>
      </c>
      <c r="C344" s="4" t="n">
        <v>152</v>
      </c>
      <c r="D344" s="4" t="n">
        <v>133</v>
      </c>
      <c r="E344" s="6" t="n">
        <v>16.695959443471</v>
      </c>
      <c r="F344" s="6" t="n">
        <f aca="false">D344+E344</f>
        <v>149.695959443471</v>
      </c>
      <c r="G344" s="6" t="n">
        <f aca="false">F344-C344</f>
        <v>-2.30404055652903</v>
      </c>
      <c r="H344" s="4" t="str">
        <f aca="false">IF(G344&gt;2,"LATE",IF(G344&lt;-13,"EARLY","IN"))</f>
        <v>IN</v>
      </c>
      <c r="I344" s="4" t="n">
        <f aca="false">C344-D344</f>
        <v>19</v>
      </c>
    </row>
    <row r="345" customFormat="false" ht="15" hidden="false" customHeight="false" outlineLevel="0" collapsed="false">
      <c r="A345" s="4" t="n">
        <v>7</v>
      </c>
      <c r="B345" s="4" t="n">
        <v>193</v>
      </c>
      <c r="C345" s="4" t="n">
        <v>223</v>
      </c>
      <c r="D345" s="4" t="n">
        <v>194</v>
      </c>
      <c r="E345" s="6" t="n">
        <v>17.7769549234386</v>
      </c>
      <c r="F345" s="6" t="n">
        <f aca="false">D345+E345</f>
        <v>211.776954923439</v>
      </c>
      <c r="G345" s="6" t="n">
        <f aca="false">F345-C345</f>
        <v>-11.2230450765614</v>
      </c>
      <c r="H345" s="4" t="str">
        <f aca="false">IF(G345&gt;2,"LATE",IF(G345&lt;-13,"EARLY","IN"))</f>
        <v>IN</v>
      </c>
      <c r="I345" s="4" t="n">
        <f aca="false">C345-D345</f>
        <v>29</v>
      </c>
    </row>
    <row r="346" customFormat="false" ht="15" hidden="false" customHeight="false" outlineLevel="0" collapsed="false">
      <c r="A346" s="4" t="n">
        <v>7</v>
      </c>
      <c r="B346" s="4" t="n">
        <v>198</v>
      </c>
      <c r="C346" s="4" t="n">
        <v>137</v>
      </c>
      <c r="D346" s="4" t="n">
        <v>116</v>
      </c>
      <c r="E346" s="6" t="n">
        <v>17.2575723105932</v>
      </c>
      <c r="F346" s="6" t="n">
        <f aca="false">D346+E346</f>
        <v>133.257572310593</v>
      </c>
      <c r="G346" s="6" t="n">
        <f aca="false">F346-C346</f>
        <v>-3.74242768940678</v>
      </c>
      <c r="H346" s="4" t="str">
        <f aca="false">IF(G346&gt;2,"LATE",IF(G346&lt;-13,"EARLY","IN"))</f>
        <v>IN</v>
      </c>
      <c r="I346" s="4" t="n">
        <f aca="false">C346-D346</f>
        <v>21</v>
      </c>
    </row>
    <row r="347" customFormat="false" ht="15" hidden="false" customHeight="false" outlineLevel="0" collapsed="false">
      <c r="A347" s="4" t="n">
        <v>7</v>
      </c>
      <c r="B347" s="4" t="n">
        <v>201</v>
      </c>
      <c r="C347" s="4" t="n">
        <v>201</v>
      </c>
      <c r="D347" s="4" t="n">
        <v>180</v>
      </c>
      <c r="E347" s="6" t="n">
        <v>14.1656007708292</v>
      </c>
      <c r="F347" s="6" t="n">
        <f aca="false">D347+E347</f>
        <v>194.165600770829</v>
      </c>
      <c r="G347" s="6" t="n">
        <f aca="false">F347-C347</f>
        <v>-6.8343992291708</v>
      </c>
      <c r="H347" s="4" t="str">
        <f aca="false">IF(G347&gt;2,"LATE",IF(G347&lt;-13,"EARLY","IN"))</f>
        <v>IN</v>
      </c>
      <c r="I347" s="4" t="n">
        <f aca="false">C347-D347</f>
        <v>21</v>
      </c>
    </row>
    <row r="348" customFormat="false" ht="15" hidden="false" customHeight="false" outlineLevel="0" collapsed="false">
      <c r="A348" s="4" t="n">
        <v>7</v>
      </c>
      <c r="B348" s="4" t="n">
        <v>202</v>
      </c>
      <c r="C348" s="4" t="n">
        <v>236</v>
      </c>
      <c r="D348" s="4" t="n">
        <v>211</v>
      </c>
      <c r="E348" s="6" t="n">
        <v>17.7844639479525</v>
      </c>
      <c r="F348" s="6" t="n">
        <f aca="false">D348+E348</f>
        <v>228.784463947953</v>
      </c>
      <c r="G348" s="6" t="n">
        <f aca="false">F348-C348</f>
        <v>-7.21553605204747</v>
      </c>
      <c r="H348" s="4" t="str">
        <f aca="false">IF(G348&gt;2,"LATE",IF(G348&lt;-13,"EARLY","IN"))</f>
        <v>IN</v>
      </c>
      <c r="I348" s="4" t="n">
        <f aca="false">C348-D348</f>
        <v>25</v>
      </c>
    </row>
    <row r="349" customFormat="false" ht="15" hidden="false" customHeight="false" outlineLevel="0" collapsed="false">
      <c r="A349" s="4" t="n">
        <v>7</v>
      </c>
      <c r="B349" s="4" t="n">
        <v>203</v>
      </c>
      <c r="C349" s="4" t="n">
        <v>225</v>
      </c>
      <c r="D349" s="4" t="n">
        <v>202</v>
      </c>
      <c r="E349" s="6" t="n">
        <v>18.1819057670623</v>
      </c>
      <c r="F349" s="6" t="n">
        <f aca="false">D349+E349</f>
        <v>220.181905767062</v>
      </c>
      <c r="G349" s="6" t="n">
        <f aca="false">F349-C349</f>
        <v>-4.81809423293771</v>
      </c>
      <c r="H349" s="4" t="str">
        <f aca="false">IF(G349&gt;2,"LATE",IF(G349&lt;-13,"EARLY","IN"))</f>
        <v>IN</v>
      </c>
      <c r="I349" s="4" t="n">
        <f aca="false">C349-D349</f>
        <v>23</v>
      </c>
    </row>
    <row r="350" customFormat="false" ht="15" hidden="false" customHeight="false" outlineLevel="0" collapsed="false">
      <c r="A350" s="4" t="n">
        <v>7</v>
      </c>
      <c r="B350" s="4" t="n">
        <v>212</v>
      </c>
      <c r="C350" s="4" t="n">
        <v>277</v>
      </c>
      <c r="D350" s="4" t="n">
        <v>247</v>
      </c>
      <c r="E350" s="6" t="n">
        <v>17.0547067101774</v>
      </c>
      <c r="F350" s="6" t="n">
        <f aca="false">D350+E350</f>
        <v>264.054706710177</v>
      </c>
      <c r="G350" s="6" t="n">
        <f aca="false">F350-C350</f>
        <v>-12.9452932898226</v>
      </c>
      <c r="H350" s="4" t="str">
        <f aca="false">IF(G350&gt;2,"LATE",IF(G350&lt;-13,"EARLY","IN"))</f>
        <v>IN</v>
      </c>
      <c r="I350" s="4" t="n">
        <f aca="false">C350-D350</f>
        <v>30</v>
      </c>
    </row>
    <row r="351" customFormat="false" ht="15" hidden="false" customHeight="false" outlineLevel="0" collapsed="false">
      <c r="A351" s="4" t="n">
        <v>7</v>
      </c>
      <c r="B351" s="4" t="n">
        <v>216</v>
      </c>
      <c r="C351" s="4" t="n">
        <v>190</v>
      </c>
      <c r="D351" s="4" t="n">
        <v>175</v>
      </c>
      <c r="E351" s="6" t="n">
        <v>12.1184447422139</v>
      </c>
      <c r="F351" s="6" t="n">
        <f aca="false">D351+E351</f>
        <v>187.118444742214</v>
      </c>
      <c r="G351" s="6" t="n">
        <f aca="false">F351-C351</f>
        <v>-2.88155525778612</v>
      </c>
      <c r="H351" s="4" t="str">
        <f aca="false">IF(G351&gt;2,"LATE",IF(G351&lt;-13,"EARLY","IN"))</f>
        <v>IN</v>
      </c>
      <c r="I351" s="4" t="n">
        <f aca="false">C351-D351</f>
        <v>15</v>
      </c>
    </row>
    <row r="352" customFormat="false" ht="15" hidden="false" customHeight="false" outlineLevel="0" collapsed="false">
      <c r="A352" s="4" t="n">
        <v>8</v>
      </c>
      <c r="B352" s="4" t="n">
        <v>5</v>
      </c>
      <c r="C352" s="4" t="n">
        <v>357</v>
      </c>
      <c r="D352" s="4" t="n">
        <v>324</v>
      </c>
      <c r="E352" s="6" t="n">
        <v>17.8428922436797</v>
      </c>
      <c r="F352" s="6" t="n">
        <f aca="false">D352+E352</f>
        <v>341.84289224368</v>
      </c>
      <c r="G352" s="6" t="n">
        <f aca="false">F352-C352</f>
        <v>-15.1571077563203</v>
      </c>
      <c r="H352" s="4" t="str">
        <f aca="false">IF(G352&gt;2,"LATE",IF(G352&lt;-13,"EARLY","IN"))</f>
        <v>EARLY</v>
      </c>
      <c r="I352" s="4" t="n">
        <f aca="false">C352-D352</f>
        <v>33</v>
      </c>
    </row>
    <row r="353" customFormat="false" ht="15" hidden="false" customHeight="false" outlineLevel="0" collapsed="false">
      <c r="A353" s="4" t="n">
        <v>8</v>
      </c>
      <c r="B353" s="4" t="n">
        <v>14</v>
      </c>
      <c r="C353" s="4" t="n">
        <v>147</v>
      </c>
      <c r="D353" s="4" t="n">
        <v>129</v>
      </c>
      <c r="E353" s="6" t="n">
        <v>14.800652249709</v>
      </c>
      <c r="F353" s="6" t="n">
        <f aca="false">D353+E353</f>
        <v>143.800652249709</v>
      </c>
      <c r="G353" s="6" t="n">
        <f aca="false">F353-C353</f>
        <v>-3.199347750291</v>
      </c>
      <c r="H353" s="4" t="str">
        <f aca="false">IF(G353&gt;2,"LATE",IF(G353&lt;-13,"EARLY","IN"))</f>
        <v>IN</v>
      </c>
      <c r="I353" s="4" t="n">
        <f aca="false">C353-D353</f>
        <v>18</v>
      </c>
    </row>
    <row r="354" customFormat="false" ht="15" hidden="false" customHeight="false" outlineLevel="0" collapsed="false">
      <c r="A354" s="4" t="n">
        <v>8</v>
      </c>
      <c r="B354" s="4" t="n">
        <v>16</v>
      </c>
      <c r="C354" s="4" t="n">
        <v>172</v>
      </c>
      <c r="D354" s="4" t="n">
        <v>151</v>
      </c>
      <c r="E354" s="6" t="n">
        <v>16.1652492391476</v>
      </c>
      <c r="F354" s="6" t="n">
        <f aca="false">D354+E354</f>
        <v>167.165249239148</v>
      </c>
      <c r="G354" s="6" t="n">
        <f aca="false">F354-C354</f>
        <v>-4.83475076085239</v>
      </c>
      <c r="H354" s="4" t="str">
        <f aca="false">IF(G354&gt;2,"LATE",IF(G354&lt;-13,"EARLY","IN"))</f>
        <v>IN</v>
      </c>
      <c r="I354" s="4" t="n">
        <f aca="false">C354-D354</f>
        <v>21</v>
      </c>
    </row>
    <row r="355" customFormat="false" ht="15" hidden="false" customHeight="false" outlineLevel="0" collapsed="false">
      <c r="A355" s="4" t="n">
        <v>8</v>
      </c>
      <c r="B355" s="4" t="n">
        <v>29</v>
      </c>
      <c r="C355" s="4" t="n">
        <v>228</v>
      </c>
      <c r="D355" s="4" t="n">
        <v>208</v>
      </c>
      <c r="E355" s="6" t="n">
        <v>14.6504678601342</v>
      </c>
      <c r="F355" s="6" t="n">
        <f aca="false">D355+E355</f>
        <v>222.650467860134</v>
      </c>
      <c r="G355" s="6" t="n">
        <f aca="false">F355-C355</f>
        <v>-5.34953213986577</v>
      </c>
      <c r="H355" s="4" t="str">
        <f aca="false">IF(G355&gt;2,"LATE",IF(G355&lt;-13,"EARLY","IN"))</f>
        <v>IN</v>
      </c>
      <c r="I355" s="4" t="n">
        <f aca="false">C355-D355</f>
        <v>20</v>
      </c>
    </row>
    <row r="356" customFormat="false" ht="15" hidden="false" customHeight="false" outlineLevel="0" collapsed="false">
      <c r="A356" s="4" t="n">
        <v>8</v>
      </c>
      <c r="B356" s="4" t="n">
        <v>31</v>
      </c>
      <c r="C356" s="4" t="n">
        <v>283</v>
      </c>
      <c r="D356" s="4" t="n">
        <v>257</v>
      </c>
      <c r="E356" s="6" t="n">
        <v>15.9089891069873</v>
      </c>
      <c r="F356" s="6" t="n">
        <f aca="false">D356+E356</f>
        <v>272.908989106987</v>
      </c>
      <c r="G356" s="6" t="n">
        <f aca="false">F356-C356</f>
        <v>-10.0910108930127</v>
      </c>
      <c r="H356" s="4" t="str">
        <f aca="false">IF(G356&gt;2,"LATE",IF(G356&lt;-13,"EARLY","IN"))</f>
        <v>IN</v>
      </c>
      <c r="I356" s="4" t="n">
        <f aca="false">C356-D356</f>
        <v>26</v>
      </c>
    </row>
    <row r="357" customFormat="false" ht="15" hidden="false" customHeight="false" outlineLevel="0" collapsed="false">
      <c r="A357" s="4" t="n">
        <v>8</v>
      </c>
      <c r="B357" s="4" t="n">
        <v>36</v>
      </c>
      <c r="C357" s="4" t="n">
        <v>147</v>
      </c>
      <c r="D357" s="4" t="n">
        <v>124</v>
      </c>
      <c r="E357" s="6" t="n">
        <v>18.053577898218</v>
      </c>
      <c r="F357" s="6" t="n">
        <f aca="false">D357+E357</f>
        <v>142.053577898218</v>
      </c>
      <c r="G357" s="6" t="n">
        <f aca="false">F357-C357</f>
        <v>-4.94642210178199</v>
      </c>
      <c r="H357" s="4" t="str">
        <f aca="false">IF(G357&gt;2,"LATE",IF(G357&lt;-13,"EARLY","IN"))</f>
        <v>IN</v>
      </c>
      <c r="I357" s="4" t="n">
        <f aca="false">C357-D357</f>
        <v>23</v>
      </c>
    </row>
    <row r="358" customFormat="false" ht="15" hidden="false" customHeight="false" outlineLevel="0" collapsed="false">
      <c r="A358" s="4" t="n">
        <v>8</v>
      </c>
      <c r="B358" s="4" t="n">
        <v>37</v>
      </c>
      <c r="C358" s="4" t="n">
        <v>177</v>
      </c>
      <c r="D358" s="4" t="n">
        <v>143</v>
      </c>
      <c r="E358" s="6" t="n">
        <v>17.7563443114842</v>
      </c>
      <c r="F358" s="6" t="n">
        <f aca="false">D358+E358</f>
        <v>160.756344311484</v>
      </c>
      <c r="G358" s="6" t="n">
        <f aca="false">F358-C358</f>
        <v>-16.2436556885158</v>
      </c>
      <c r="H358" s="4" t="str">
        <f aca="false">IF(G358&gt;2,"LATE",IF(G358&lt;-13,"EARLY","IN"))</f>
        <v>EARLY</v>
      </c>
      <c r="I358" s="4" t="n">
        <f aca="false">C358-D358</f>
        <v>34</v>
      </c>
    </row>
    <row r="359" customFormat="false" ht="15" hidden="false" customHeight="false" outlineLevel="0" collapsed="false">
      <c r="A359" s="4" t="n">
        <v>8</v>
      </c>
      <c r="B359" s="4" t="n">
        <v>38</v>
      </c>
      <c r="C359" s="4" t="n">
        <v>287</v>
      </c>
      <c r="D359" s="4" t="n">
        <v>263</v>
      </c>
      <c r="E359" s="6" t="n">
        <v>17.6103188064343</v>
      </c>
      <c r="F359" s="6" t="n">
        <f aca="false">D359+E359</f>
        <v>280.610318806434</v>
      </c>
      <c r="G359" s="6" t="n">
        <f aca="false">F359-C359</f>
        <v>-6.38968119356571</v>
      </c>
      <c r="H359" s="4" t="str">
        <f aca="false">IF(G359&gt;2,"LATE",IF(G359&lt;-13,"EARLY","IN"))</f>
        <v>IN</v>
      </c>
      <c r="I359" s="4" t="n">
        <f aca="false">C359-D359</f>
        <v>24</v>
      </c>
    </row>
    <row r="360" customFormat="false" ht="15" hidden="false" customHeight="false" outlineLevel="0" collapsed="false">
      <c r="A360" s="4" t="n">
        <v>8</v>
      </c>
      <c r="B360" s="4" t="n">
        <v>39</v>
      </c>
      <c r="C360" s="4" t="n">
        <v>161</v>
      </c>
      <c r="D360" s="4" t="n">
        <v>141</v>
      </c>
      <c r="E360" s="6" t="n">
        <v>14.6880146289497</v>
      </c>
      <c r="F360" s="6" t="n">
        <f aca="false">D360+E360</f>
        <v>155.68801462895</v>
      </c>
      <c r="G360" s="6" t="n">
        <f aca="false">F360-C360</f>
        <v>-5.31198537105033</v>
      </c>
      <c r="H360" s="4" t="str">
        <f aca="false">IF(G360&gt;2,"LATE",IF(G360&lt;-13,"EARLY","IN"))</f>
        <v>IN</v>
      </c>
      <c r="I360" s="4" t="n">
        <f aca="false">C360-D360</f>
        <v>20</v>
      </c>
    </row>
    <row r="361" customFormat="false" ht="15" hidden="false" customHeight="false" outlineLevel="0" collapsed="false">
      <c r="A361" s="4" t="n">
        <v>8</v>
      </c>
      <c r="B361" s="4" t="n">
        <v>45</v>
      </c>
      <c r="C361" s="4" t="n">
        <v>242</v>
      </c>
      <c r="D361" s="4" t="n">
        <v>212</v>
      </c>
      <c r="E361" s="6" t="n">
        <v>18.0265239120136</v>
      </c>
      <c r="F361" s="6" t="n">
        <f aca="false">D361+E361</f>
        <v>230.026523912014</v>
      </c>
      <c r="G361" s="6" t="n">
        <f aca="false">F361-C361</f>
        <v>-11.9734760879864</v>
      </c>
      <c r="H361" s="4" t="str">
        <f aca="false">IF(G361&gt;2,"LATE",IF(G361&lt;-13,"EARLY","IN"))</f>
        <v>IN</v>
      </c>
      <c r="I361" s="4" t="n">
        <f aca="false">C361-D361</f>
        <v>30</v>
      </c>
    </row>
    <row r="362" customFormat="false" ht="15" hidden="false" customHeight="false" outlineLevel="0" collapsed="false">
      <c r="A362" s="4" t="n">
        <v>8</v>
      </c>
      <c r="B362" s="4" t="n">
        <v>46</v>
      </c>
      <c r="C362" s="4" t="n">
        <v>277</v>
      </c>
      <c r="D362" s="4" t="n">
        <v>253</v>
      </c>
      <c r="E362" s="6" t="n">
        <v>17.5961850332762</v>
      </c>
      <c r="F362" s="6" t="n">
        <f aca="false">D362+E362</f>
        <v>270.596185033276</v>
      </c>
      <c r="G362" s="6" t="n">
        <f aca="false">F362-C362</f>
        <v>-6.40381496672381</v>
      </c>
      <c r="H362" s="4" t="str">
        <f aca="false">IF(G362&gt;2,"LATE",IF(G362&lt;-13,"EARLY","IN"))</f>
        <v>IN</v>
      </c>
      <c r="I362" s="4" t="n">
        <f aca="false">C362-D362</f>
        <v>24</v>
      </c>
    </row>
    <row r="363" customFormat="false" ht="15" hidden="false" customHeight="false" outlineLevel="0" collapsed="false">
      <c r="A363" s="4" t="n">
        <v>8</v>
      </c>
      <c r="B363" s="4" t="n">
        <v>51</v>
      </c>
      <c r="C363" s="4" t="n">
        <v>182</v>
      </c>
      <c r="D363" s="4" t="n">
        <v>161</v>
      </c>
      <c r="E363" s="6" t="n">
        <v>17.6467472008884</v>
      </c>
      <c r="F363" s="6" t="n">
        <f aca="false">D363+E363</f>
        <v>178.646747200888</v>
      </c>
      <c r="G363" s="6" t="n">
        <f aca="false">F363-C363</f>
        <v>-3.35325279911163</v>
      </c>
      <c r="H363" s="4" t="str">
        <f aca="false">IF(G363&gt;2,"LATE",IF(G363&lt;-13,"EARLY","IN"))</f>
        <v>IN</v>
      </c>
      <c r="I363" s="4" t="n">
        <f aca="false">C363-D363</f>
        <v>21</v>
      </c>
    </row>
    <row r="364" customFormat="false" ht="15" hidden="false" customHeight="false" outlineLevel="0" collapsed="false">
      <c r="A364" s="4" t="n">
        <v>8</v>
      </c>
      <c r="B364" s="4" t="n">
        <v>55</v>
      </c>
      <c r="C364" s="4" t="n">
        <v>147</v>
      </c>
      <c r="D364" s="4" t="n">
        <v>129</v>
      </c>
      <c r="E364" s="6" t="n">
        <v>14.6518493833461</v>
      </c>
      <c r="F364" s="6" t="n">
        <f aca="false">D364+E364</f>
        <v>143.651849383346</v>
      </c>
      <c r="G364" s="6" t="n">
        <f aca="false">F364-C364</f>
        <v>-3.34815061665392</v>
      </c>
      <c r="H364" s="4" t="str">
        <f aca="false">IF(G364&gt;2,"LATE",IF(G364&lt;-13,"EARLY","IN"))</f>
        <v>IN</v>
      </c>
      <c r="I364" s="4" t="n">
        <f aca="false">C364-D364</f>
        <v>18</v>
      </c>
    </row>
    <row r="365" customFormat="false" ht="15" hidden="false" customHeight="false" outlineLevel="0" collapsed="false">
      <c r="A365" s="4" t="n">
        <v>8</v>
      </c>
      <c r="B365" s="4" t="n">
        <v>61</v>
      </c>
      <c r="C365" s="4" t="n">
        <v>229</v>
      </c>
      <c r="D365" s="4" t="n">
        <v>205</v>
      </c>
      <c r="E365" s="6" t="n">
        <v>16.345808309383</v>
      </c>
      <c r="F365" s="6" t="n">
        <f aca="false">D365+E365</f>
        <v>221.345808309383</v>
      </c>
      <c r="G365" s="6" t="n">
        <f aca="false">F365-C365</f>
        <v>-7.65419169061704</v>
      </c>
      <c r="H365" s="4" t="str">
        <f aca="false">IF(G365&gt;2,"LATE",IF(G365&lt;-13,"EARLY","IN"))</f>
        <v>IN</v>
      </c>
      <c r="I365" s="4" t="n">
        <f aca="false">C365-D365</f>
        <v>24</v>
      </c>
    </row>
    <row r="366" customFormat="false" ht="15" hidden="false" customHeight="false" outlineLevel="0" collapsed="false">
      <c r="A366" s="4" t="n">
        <v>8</v>
      </c>
      <c r="B366" s="4" t="n">
        <v>63</v>
      </c>
      <c r="C366" s="4" t="n">
        <v>254</v>
      </c>
      <c r="D366" s="4" t="n">
        <v>239</v>
      </c>
      <c r="E366" s="6" t="n">
        <v>15.9052041876749</v>
      </c>
      <c r="F366" s="6" t="n">
        <f aca="false">D366+E366</f>
        <v>254.905204187675</v>
      </c>
      <c r="G366" s="6" t="n">
        <f aca="false">F366-C366</f>
        <v>0.905204187674912</v>
      </c>
      <c r="H366" s="4" t="str">
        <f aca="false">IF(G366&gt;2,"LATE",IF(G366&lt;-13,"EARLY","IN"))</f>
        <v>IN</v>
      </c>
      <c r="I366" s="4" t="n">
        <f aca="false">C366-D366</f>
        <v>15</v>
      </c>
    </row>
    <row r="367" customFormat="false" ht="15" hidden="false" customHeight="false" outlineLevel="0" collapsed="false">
      <c r="A367" s="4" t="n">
        <v>8</v>
      </c>
      <c r="B367" s="4" t="n">
        <v>64</v>
      </c>
      <c r="C367" s="4" t="n">
        <v>154</v>
      </c>
      <c r="D367" s="4" t="n">
        <v>134</v>
      </c>
      <c r="E367" s="6" t="n">
        <v>19.4582427397019</v>
      </c>
      <c r="F367" s="6" t="n">
        <f aca="false">D367+E367</f>
        <v>153.458242739702</v>
      </c>
      <c r="G367" s="6" t="n">
        <f aca="false">F367-C367</f>
        <v>-0.541757260298084</v>
      </c>
      <c r="H367" s="4" t="str">
        <f aca="false">IF(G367&gt;2,"LATE",IF(G367&lt;-13,"EARLY","IN"))</f>
        <v>IN</v>
      </c>
      <c r="I367" s="4" t="n">
        <f aca="false">C367-D367</f>
        <v>20</v>
      </c>
    </row>
    <row r="368" customFormat="false" ht="15" hidden="false" customHeight="false" outlineLevel="0" collapsed="false">
      <c r="A368" s="4" t="n">
        <v>8</v>
      </c>
      <c r="B368" s="4" t="n">
        <v>66</v>
      </c>
      <c r="C368" s="4" t="n">
        <v>190</v>
      </c>
      <c r="D368" s="4" t="n">
        <v>171</v>
      </c>
      <c r="E368" s="6" t="n">
        <v>16.9462945034756</v>
      </c>
      <c r="F368" s="6" t="n">
        <f aca="false">D368+E368</f>
        <v>187.946294503476</v>
      </c>
      <c r="G368" s="6" t="n">
        <f aca="false">F368-C368</f>
        <v>-2.05370549652443</v>
      </c>
      <c r="H368" s="4" t="str">
        <f aca="false">IF(G368&gt;2,"LATE",IF(G368&lt;-13,"EARLY","IN"))</f>
        <v>IN</v>
      </c>
      <c r="I368" s="4" t="n">
        <f aca="false">C368-D368</f>
        <v>19</v>
      </c>
    </row>
    <row r="369" customFormat="false" ht="15" hidden="false" customHeight="false" outlineLevel="0" collapsed="false">
      <c r="A369" s="4" t="n">
        <v>8</v>
      </c>
      <c r="B369" s="4" t="n">
        <v>71</v>
      </c>
      <c r="C369" s="4" t="n">
        <v>225</v>
      </c>
      <c r="D369" s="4" t="n">
        <v>202</v>
      </c>
      <c r="E369" s="6" t="n">
        <v>18.003764709332</v>
      </c>
      <c r="F369" s="6" t="n">
        <f aca="false">D369+E369</f>
        <v>220.003764709332</v>
      </c>
      <c r="G369" s="6" t="n">
        <f aca="false">F369-C369</f>
        <v>-4.99623529066804</v>
      </c>
      <c r="H369" s="4" t="str">
        <f aca="false">IF(G369&gt;2,"LATE",IF(G369&lt;-13,"EARLY","IN"))</f>
        <v>IN</v>
      </c>
      <c r="I369" s="4" t="n">
        <f aca="false">C369-D369</f>
        <v>23</v>
      </c>
    </row>
    <row r="370" customFormat="false" ht="15" hidden="false" customHeight="false" outlineLevel="0" collapsed="false">
      <c r="A370" s="4" t="n">
        <v>8</v>
      </c>
      <c r="B370" s="4" t="n">
        <v>73</v>
      </c>
      <c r="C370" s="4" t="n">
        <v>249</v>
      </c>
      <c r="D370" s="4" t="n">
        <v>225</v>
      </c>
      <c r="E370" s="6" t="n">
        <v>15.4275099912507</v>
      </c>
      <c r="F370" s="6" t="n">
        <f aca="false">D370+E370</f>
        <v>240.427509991251</v>
      </c>
      <c r="G370" s="6" t="n">
        <f aca="false">F370-C370</f>
        <v>-8.57249000874927</v>
      </c>
      <c r="H370" s="4" t="str">
        <f aca="false">IF(G370&gt;2,"LATE",IF(G370&lt;-13,"EARLY","IN"))</f>
        <v>IN</v>
      </c>
      <c r="I370" s="4" t="n">
        <f aca="false">C370-D370</f>
        <v>24</v>
      </c>
    </row>
    <row r="371" customFormat="false" ht="15" hidden="false" customHeight="false" outlineLevel="0" collapsed="false">
      <c r="A371" s="4" t="n">
        <v>8</v>
      </c>
      <c r="B371" s="4" t="n">
        <v>77</v>
      </c>
      <c r="C371" s="4" t="n">
        <v>174</v>
      </c>
      <c r="D371" s="4" t="n">
        <v>157</v>
      </c>
      <c r="E371" s="6" t="n">
        <v>16.8176297975433</v>
      </c>
      <c r="F371" s="6" t="n">
        <f aca="false">D371+E371</f>
        <v>173.817629797543</v>
      </c>
      <c r="G371" s="6" t="n">
        <f aca="false">F371-C371</f>
        <v>-0.182370202456696</v>
      </c>
      <c r="H371" s="4" t="str">
        <f aca="false">IF(G371&gt;2,"LATE",IF(G371&lt;-13,"EARLY","IN"))</f>
        <v>IN</v>
      </c>
      <c r="I371" s="4" t="n">
        <f aca="false">C371-D371</f>
        <v>17</v>
      </c>
    </row>
    <row r="372" customFormat="false" ht="15" hidden="false" customHeight="false" outlineLevel="0" collapsed="false">
      <c r="A372" s="4" t="n">
        <v>8</v>
      </c>
      <c r="B372" s="4" t="n">
        <v>78</v>
      </c>
      <c r="C372" s="4" t="n">
        <v>228</v>
      </c>
      <c r="D372" s="4" t="n">
        <v>198</v>
      </c>
      <c r="E372" s="6" t="n">
        <v>16.4545289828095</v>
      </c>
      <c r="F372" s="6" t="n">
        <f aca="false">D372+E372</f>
        <v>214.454528982809</v>
      </c>
      <c r="G372" s="6" t="n">
        <f aca="false">F372-C372</f>
        <v>-13.5454710171906</v>
      </c>
      <c r="H372" s="4" t="str">
        <f aca="false">IF(G372&gt;2,"LATE",IF(G372&lt;-13,"EARLY","IN"))</f>
        <v>EARLY</v>
      </c>
      <c r="I372" s="4" t="n">
        <f aca="false">C372-D372</f>
        <v>30</v>
      </c>
    </row>
    <row r="373" customFormat="false" ht="15" hidden="false" customHeight="false" outlineLevel="0" collapsed="false">
      <c r="A373" s="4" t="n">
        <v>8</v>
      </c>
      <c r="B373" s="4" t="n">
        <v>80</v>
      </c>
      <c r="C373" s="4" t="n">
        <v>284</v>
      </c>
      <c r="D373" s="4" t="n">
        <v>263</v>
      </c>
      <c r="E373" s="6" t="n">
        <v>15.5647829595531</v>
      </c>
      <c r="F373" s="6" t="n">
        <f aca="false">D373+E373</f>
        <v>278.564782959553</v>
      </c>
      <c r="G373" s="6" t="n">
        <f aca="false">F373-C373</f>
        <v>-5.4352170404469</v>
      </c>
      <c r="H373" s="4" t="str">
        <f aca="false">IF(G373&gt;2,"LATE",IF(G373&lt;-13,"EARLY","IN"))</f>
        <v>IN</v>
      </c>
      <c r="I373" s="4" t="n">
        <f aca="false">C373-D373</f>
        <v>21</v>
      </c>
    </row>
    <row r="374" customFormat="false" ht="15" hidden="false" customHeight="false" outlineLevel="0" collapsed="false">
      <c r="A374" s="4" t="n">
        <v>8</v>
      </c>
      <c r="B374" s="4" t="n">
        <v>82</v>
      </c>
      <c r="C374" s="4" t="n">
        <v>223</v>
      </c>
      <c r="D374" s="4" t="n">
        <v>209</v>
      </c>
      <c r="E374" s="6" t="n">
        <v>16.7491693795488</v>
      </c>
      <c r="F374" s="6" t="n">
        <f aca="false">D374+E374</f>
        <v>225.749169379549</v>
      </c>
      <c r="G374" s="6" t="n">
        <f aca="false">F374-C374</f>
        <v>2.74916937954882</v>
      </c>
      <c r="H374" s="4" t="str">
        <f aca="false">IF(G374&gt;2,"LATE",IF(G374&lt;-13,"EARLY","IN"))</f>
        <v>LATE</v>
      </c>
      <c r="I374" s="4" t="n">
        <f aca="false">C374-D374</f>
        <v>14</v>
      </c>
    </row>
    <row r="375" customFormat="false" ht="15" hidden="false" customHeight="false" outlineLevel="0" collapsed="false">
      <c r="A375" s="4" t="n">
        <v>8</v>
      </c>
      <c r="B375" s="4" t="n">
        <v>83</v>
      </c>
      <c r="C375" s="4" t="n">
        <v>231</v>
      </c>
      <c r="D375" s="4" t="n">
        <v>213</v>
      </c>
      <c r="E375" s="6" t="n">
        <v>13.1456957947547</v>
      </c>
      <c r="F375" s="6" t="n">
        <f aca="false">D375+E375</f>
        <v>226.145695794755</v>
      </c>
      <c r="G375" s="6" t="n">
        <f aca="false">F375-C375</f>
        <v>-4.85430420524534</v>
      </c>
      <c r="H375" s="4" t="str">
        <f aca="false">IF(G375&gt;2,"LATE",IF(G375&lt;-13,"EARLY","IN"))</f>
        <v>IN</v>
      </c>
      <c r="I375" s="4" t="n">
        <f aca="false">C375-D375</f>
        <v>18</v>
      </c>
    </row>
    <row r="376" customFormat="false" ht="15" hidden="false" customHeight="false" outlineLevel="0" collapsed="false">
      <c r="A376" s="4" t="n">
        <v>8</v>
      </c>
      <c r="B376" s="4" t="n">
        <v>84</v>
      </c>
      <c r="C376" s="4" t="n">
        <v>206</v>
      </c>
      <c r="D376" s="4" t="n">
        <v>185</v>
      </c>
      <c r="E376" s="6" t="n">
        <v>18.1538420621732</v>
      </c>
      <c r="F376" s="6" t="n">
        <f aca="false">D376+E376</f>
        <v>203.153842062173</v>
      </c>
      <c r="G376" s="6" t="n">
        <f aca="false">F376-C376</f>
        <v>-2.84615793782677</v>
      </c>
      <c r="H376" s="4" t="str">
        <f aca="false">IF(G376&gt;2,"LATE",IF(G376&lt;-13,"EARLY","IN"))</f>
        <v>IN</v>
      </c>
      <c r="I376" s="4" t="n">
        <f aca="false">C376-D376</f>
        <v>21</v>
      </c>
    </row>
    <row r="377" customFormat="false" ht="15" hidden="false" customHeight="false" outlineLevel="0" collapsed="false">
      <c r="A377" s="4" t="n">
        <v>8</v>
      </c>
      <c r="B377" s="4" t="n">
        <v>86</v>
      </c>
      <c r="C377" s="4" t="n">
        <v>205</v>
      </c>
      <c r="D377" s="4" t="n">
        <v>186</v>
      </c>
      <c r="E377" s="6" t="n">
        <v>17.2841740457754</v>
      </c>
      <c r="F377" s="6" t="n">
        <f aca="false">D377+E377</f>
        <v>203.284174045775</v>
      </c>
      <c r="G377" s="6" t="n">
        <f aca="false">F377-C377</f>
        <v>-1.71582595422464</v>
      </c>
      <c r="H377" s="4" t="str">
        <f aca="false">IF(G377&gt;2,"LATE",IF(G377&lt;-13,"EARLY","IN"))</f>
        <v>IN</v>
      </c>
      <c r="I377" s="4" t="n">
        <f aca="false">C377-D377</f>
        <v>19</v>
      </c>
    </row>
    <row r="378" customFormat="false" ht="15" hidden="false" customHeight="false" outlineLevel="0" collapsed="false">
      <c r="A378" s="4" t="n">
        <v>8</v>
      </c>
      <c r="B378" s="4" t="n">
        <v>89</v>
      </c>
      <c r="C378" s="4" t="n">
        <v>225</v>
      </c>
      <c r="D378" s="4" t="n">
        <v>200</v>
      </c>
      <c r="E378" s="6" t="n">
        <v>18.6142632454116</v>
      </c>
      <c r="F378" s="6" t="n">
        <f aca="false">D378+E378</f>
        <v>218.614263245412</v>
      </c>
      <c r="G378" s="6" t="n">
        <f aca="false">F378-C378</f>
        <v>-6.38573675458844</v>
      </c>
      <c r="H378" s="4" t="str">
        <f aca="false">IF(G378&gt;2,"LATE",IF(G378&lt;-13,"EARLY","IN"))</f>
        <v>IN</v>
      </c>
      <c r="I378" s="4" t="n">
        <f aca="false">C378-D378</f>
        <v>25</v>
      </c>
    </row>
    <row r="379" customFormat="false" ht="15" hidden="false" customHeight="false" outlineLevel="0" collapsed="false">
      <c r="A379" s="4" t="n">
        <v>8</v>
      </c>
      <c r="B379" s="4" t="n">
        <v>90</v>
      </c>
      <c r="C379" s="4" t="n">
        <v>190</v>
      </c>
      <c r="D379" s="4" t="n">
        <v>169</v>
      </c>
      <c r="E379" s="6" t="n">
        <v>15.4990638912206</v>
      </c>
      <c r="F379" s="6" t="n">
        <f aca="false">D379+E379</f>
        <v>184.499063891221</v>
      </c>
      <c r="G379" s="6" t="n">
        <f aca="false">F379-C379</f>
        <v>-5.50093610877937</v>
      </c>
      <c r="H379" s="4" t="str">
        <f aca="false">IF(G379&gt;2,"LATE",IF(G379&lt;-13,"EARLY","IN"))</f>
        <v>IN</v>
      </c>
      <c r="I379" s="4" t="n">
        <f aca="false">C379-D379</f>
        <v>21</v>
      </c>
    </row>
    <row r="380" customFormat="false" ht="15" hidden="false" customHeight="false" outlineLevel="0" collapsed="false">
      <c r="A380" s="4" t="n">
        <v>8</v>
      </c>
      <c r="B380" s="4" t="n">
        <v>96</v>
      </c>
      <c r="C380" s="4" t="n">
        <v>339</v>
      </c>
      <c r="D380" s="4" t="n">
        <v>307</v>
      </c>
      <c r="E380" s="6" t="n">
        <v>17.5328245611472</v>
      </c>
      <c r="F380" s="6" t="n">
        <f aca="false">D380+E380</f>
        <v>324.532824561147</v>
      </c>
      <c r="G380" s="6" t="n">
        <f aca="false">F380-C380</f>
        <v>-14.4671754388528</v>
      </c>
      <c r="H380" s="4" t="str">
        <f aca="false">IF(G380&gt;2,"LATE",IF(G380&lt;-13,"EARLY","IN"))</f>
        <v>EARLY</v>
      </c>
      <c r="I380" s="4" t="n">
        <f aca="false">C380-D380</f>
        <v>32</v>
      </c>
    </row>
    <row r="381" customFormat="false" ht="15" hidden="false" customHeight="false" outlineLevel="0" collapsed="false">
      <c r="A381" s="4" t="n">
        <v>8</v>
      </c>
      <c r="B381" s="4" t="n">
        <v>112</v>
      </c>
      <c r="C381" s="4" t="n">
        <v>226</v>
      </c>
      <c r="D381" s="4" t="n">
        <v>206</v>
      </c>
      <c r="E381" s="6" t="n">
        <v>16.7422415505868</v>
      </c>
      <c r="F381" s="6" t="n">
        <f aca="false">D381+E381</f>
        <v>222.742241550587</v>
      </c>
      <c r="G381" s="6" t="n">
        <f aca="false">F381-C381</f>
        <v>-3.25775844941325</v>
      </c>
      <c r="H381" s="4" t="str">
        <f aca="false">IF(G381&gt;2,"LATE",IF(G381&lt;-13,"EARLY","IN"))</f>
        <v>IN</v>
      </c>
      <c r="I381" s="4" t="n">
        <f aca="false">C381-D381</f>
        <v>20</v>
      </c>
    </row>
    <row r="382" customFormat="false" ht="15" hidden="false" customHeight="false" outlineLevel="0" collapsed="false">
      <c r="A382" s="4" t="n">
        <v>8</v>
      </c>
      <c r="B382" s="4" t="n">
        <v>113</v>
      </c>
      <c r="C382" s="4" t="n">
        <v>160</v>
      </c>
      <c r="D382" s="4" t="n">
        <v>140</v>
      </c>
      <c r="E382" s="6" t="n">
        <v>17.5461924406802</v>
      </c>
      <c r="F382" s="6" t="n">
        <f aca="false">D382+E382</f>
        <v>157.54619244068</v>
      </c>
      <c r="G382" s="6" t="n">
        <f aca="false">F382-C382</f>
        <v>-2.45380755931984</v>
      </c>
      <c r="H382" s="4" t="str">
        <f aca="false">IF(G382&gt;2,"LATE",IF(G382&lt;-13,"EARLY","IN"))</f>
        <v>IN</v>
      </c>
      <c r="I382" s="4" t="n">
        <f aca="false">C382-D382</f>
        <v>20</v>
      </c>
    </row>
    <row r="383" customFormat="false" ht="15" hidden="false" customHeight="false" outlineLevel="0" collapsed="false">
      <c r="A383" s="4" t="n">
        <v>8</v>
      </c>
      <c r="B383" s="4" t="n">
        <v>119</v>
      </c>
      <c r="C383" s="4" t="n">
        <v>242</v>
      </c>
      <c r="D383" s="4" t="n">
        <v>218</v>
      </c>
      <c r="E383" s="6" t="n">
        <v>17.0505295744082</v>
      </c>
      <c r="F383" s="6" t="n">
        <f aca="false">D383+E383</f>
        <v>235.050529574408</v>
      </c>
      <c r="G383" s="6" t="n">
        <f aca="false">F383-C383</f>
        <v>-6.94947042559184</v>
      </c>
      <c r="H383" s="4" t="str">
        <f aca="false">IF(G383&gt;2,"LATE",IF(G383&lt;-13,"EARLY","IN"))</f>
        <v>IN</v>
      </c>
      <c r="I383" s="4" t="n">
        <f aca="false">C383-D383</f>
        <v>24</v>
      </c>
    </row>
    <row r="384" customFormat="false" ht="15" hidden="false" customHeight="false" outlineLevel="0" collapsed="false">
      <c r="A384" s="4" t="n">
        <v>8</v>
      </c>
      <c r="B384" s="4" t="n">
        <v>138</v>
      </c>
      <c r="C384" s="4" t="n">
        <v>181</v>
      </c>
      <c r="D384" s="4" t="n">
        <v>168</v>
      </c>
      <c r="E384" s="6" t="n">
        <v>15.2585417640148</v>
      </c>
      <c r="F384" s="6" t="n">
        <f aca="false">D384+E384</f>
        <v>183.258541764015</v>
      </c>
      <c r="G384" s="6" t="n">
        <f aca="false">F384-C384</f>
        <v>2.25854176401475</v>
      </c>
      <c r="H384" s="4" t="str">
        <f aca="false">IF(G384&gt;2,"LATE",IF(G384&lt;-13,"EARLY","IN"))</f>
        <v>LATE</v>
      </c>
      <c r="I384" s="4" t="n">
        <f aca="false">C384-D384</f>
        <v>13</v>
      </c>
    </row>
    <row r="385" customFormat="false" ht="15" hidden="false" customHeight="false" outlineLevel="0" collapsed="false">
      <c r="A385" s="4" t="n">
        <v>8</v>
      </c>
      <c r="B385" s="4" t="n">
        <v>140</v>
      </c>
      <c r="C385" s="4" t="n">
        <v>210</v>
      </c>
      <c r="D385" s="4" t="n">
        <v>191</v>
      </c>
      <c r="E385" s="6" t="n">
        <v>15.8059677941219</v>
      </c>
      <c r="F385" s="6" t="n">
        <f aca="false">D385+E385</f>
        <v>206.805967794122</v>
      </c>
      <c r="G385" s="6" t="n">
        <f aca="false">F385-C385</f>
        <v>-3.1940322058781</v>
      </c>
      <c r="H385" s="4" t="str">
        <f aca="false">IF(G385&gt;2,"LATE",IF(G385&lt;-13,"EARLY","IN"))</f>
        <v>IN</v>
      </c>
      <c r="I385" s="4" t="n">
        <f aca="false">C385-D385</f>
        <v>19</v>
      </c>
    </row>
    <row r="386" customFormat="false" ht="15" hidden="false" customHeight="false" outlineLevel="0" collapsed="false">
      <c r="A386" s="4" t="n">
        <v>8</v>
      </c>
      <c r="B386" s="4" t="n">
        <v>151</v>
      </c>
      <c r="C386" s="4" t="n">
        <v>317</v>
      </c>
      <c r="D386" s="4" t="n">
        <v>289</v>
      </c>
      <c r="E386" s="6" t="n">
        <v>18.4387328130778</v>
      </c>
      <c r="F386" s="6" t="n">
        <f aca="false">D386+E386</f>
        <v>307.438732813078</v>
      </c>
      <c r="G386" s="6" t="n">
        <f aca="false">F386-C386</f>
        <v>-9.56126718692224</v>
      </c>
      <c r="H386" s="4" t="str">
        <f aca="false">IF(G386&gt;2,"LATE",IF(G386&lt;-13,"EARLY","IN"))</f>
        <v>IN</v>
      </c>
      <c r="I386" s="4" t="n">
        <f aca="false">C386-D386</f>
        <v>28</v>
      </c>
    </row>
    <row r="387" customFormat="false" ht="15" hidden="false" customHeight="false" outlineLevel="0" collapsed="false">
      <c r="A387" s="4" t="n">
        <v>8</v>
      </c>
      <c r="B387" s="4" t="n">
        <v>152</v>
      </c>
      <c r="C387" s="4" t="n">
        <v>213</v>
      </c>
      <c r="D387" s="4" t="n">
        <v>187</v>
      </c>
      <c r="E387" s="6" t="n">
        <v>19.7405821666758</v>
      </c>
      <c r="F387" s="6" t="n">
        <f aca="false">D387+E387</f>
        <v>206.740582166676</v>
      </c>
      <c r="G387" s="6" t="n">
        <f aca="false">F387-C387</f>
        <v>-6.25941783332419</v>
      </c>
      <c r="H387" s="4" t="str">
        <f aca="false">IF(G387&gt;2,"LATE",IF(G387&lt;-13,"EARLY","IN"))</f>
        <v>IN</v>
      </c>
      <c r="I387" s="4" t="n">
        <f aca="false">C387-D387</f>
        <v>26</v>
      </c>
    </row>
    <row r="388" customFormat="false" ht="15" hidden="false" customHeight="false" outlineLevel="0" collapsed="false">
      <c r="A388" s="4" t="n">
        <v>8</v>
      </c>
      <c r="B388" s="4" t="n">
        <v>155</v>
      </c>
      <c r="C388" s="4" t="n">
        <v>221</v>
      </c>
      <c r="D388" s="4" t="n">
        <v>201</v>
      </c>
      <c r="E388" s="6" t="n">
        <v>15.2166700556715</v>
      </c>
      <c r="F388" s="6" t="n">
        <f aca="false">D388+E388</f>
        <v>216.216670055671</v>
      </c>
      <c r="G388" s="6" t="n">
        <f aca="false">F388-C388</f>
        <v>-4.78332994432853</v>
      </c>
      <c r="H388" s="4" t="str">
        <f aca="false">IF(G388&gt;2,"LATE",IF(G388&lt;-13,"EARLY","IN"))</f>
        <v>IN</v>
      </c>
      <c r="I388" s="4" t="n">
        <f aca="false">C388-D388</f>
        <v>20</v>
      </c>
    </row>
    <row r="389" customFormat="false" ht="15" hidden="false" customHeight="false" outlineLevel="0" collapsed="false">
      <c r="A389" s="4" t="n">
        <v>8</v>
      </c>
      <c r="B389" s="4" t="n">
        <v>157</v>
      </c>
      <c r="C389" s="4" t="n">
        <v>202</v>
      </c>
      <c r="D389" s="4" t="n">
        <v>180</v>
      </c>
      <c r="E389" s="6" t="n">
        <v>18.458866133908</v>
      </c>
      <c r="F389" s="6" t="n">
        <f aca="false">D389+E389</f>
        <v>198.458866133908</v>
      </c>
      <c r="G389" s="6" t="n">
        <f aca="false">F389-C389</f>
        <v>-3.54113386609203</v>
      </c>
      <c r="H389" s="4" t="str">
        <f aca="false">IF(G389&gt;2,"LATE",IF(G389&lt;-13,"EARLY","IN"))</f>
        <v>IN</v>
      </c>
      <c r="I389" s="4" t="n">
        <f aca="false">C389-D389</f>
        <v>22</v>
      </c>
    </row>
    <row r="390" customFormat="false" ht="15" hidden="false" customHeight="false" outlineLevel="0" collapsed="false">
      <c r="A390" s="4" t="n">
        <v>8</v>
      </c>
      <c r="B390" s="4" t="n">
        <v>166</v>
      </c>
      <c r="C390" s="4" t="n">
        <v>229</v>
      </c>
      <c r="D390" s="4" t="n">
        <v>211</v>
      </c>
      <c r="E390" s="6" t="n">
        <v>16.8542348936319</v>
      </c>
      <c r="F390" s="6" t="n">
        <f aca="false">D390+E390</f>
        <v>227.854234893632</v>
      </c>
      <c r="G390" s="6" t="n">
        <f aca="false">F390-C390</f>
        <v>-1.14576510636815</v>
      </c>
      <c r="H390" s="4" t="str">
        <f aca="false">IF(G390&gt;2,"LATE",IF(G390&lt;-13,"EARLY","IN"))</f>
        <v>IN</v>
      </c>
      <c r="I390" s="4" t="n">
        <f aca="false">C390-D390</f>
        <v>18</v>
      </c>
    </row>
    <row r="391" customFormat="false" ht="15" hidden="false" customHeight="false" outlineLevel="0" collapsed="false">
      <c r="A391" s="4" t="n">
        <v>8</v>
      </c>
      <c r="B391" s="4" t="n">
        <v>168</v>
      </c>
      <c r="C391" s="4" t="n">
        <v>253</v>
      </c>
      <c r="D391" s="4" t="n">
        <v>224</v>
      </c>
      <c r="E391" s="6" t="n">
        <v>14.5941954130303</v>
      </c>
      <c r="F391" s="6" t="n">
        <f aca="false">D391+E391</f>
        <v>238.59419541303</v>
      </c>
      <c r="G391" s="6" t="n">
        <f aca="false">F391-C391</f>
        <v>-14.4058045869697</v>
      </c>
      <c r="H391" s="4" t="str">
        <f aca="false">IF(G391&gt;2,"LATE",IF(G391&lt;-13,"EARLY","IN"))</f>
        <v>EARLY</v>
      </c>
      <c r="I391" s="4" t="n">
        <f aca="false">C391-D391</f>
        <v>29</v>
      </c>
    </row>
    <row r="392" customFormat="false" ht="15" hidden="false" customHeight="false" outlineLevel="0" collapsed="false">
      <c r="A392" s="4" t="n">
        <v>8</v>
      </c>
      <c r="B392" s="4" t="n">
        <v>171</v>
      </c>
      <c r="C392" s="4" t="n">
        <v>258</v>
      </c>
      <c r="D392" s="4" t="n">
        <v>232</v>
      </c>
      <c r="E392" s="6" t="n">
        <v>17.4695891707158</v>
      </c>
      <c r="F392" s="6" t="n">
        <f aca="false">D392+E392</f>
        <v>249.469589170716</v>
      </c>
      <c r="G392" s="6" t="n">
        <f aca="false">F392-C392</f>
        <v>-8.53041082928417</v>
      </c>
      <c r="H392" s="4" t="str">
        <f aca="false">IF(G392&gt;2,"LATE",IF(G392&lt;-13,"EARLY","IN"))</f>
        <v>IN</v>
      </c>
      <c r="I392" s="4" t="n">
        <f aca="false">C392-D392</f>
        <v>26</v>
      </c>
    </row>
    <row r="393" customFormat="false" ht="15" hidden="false" customHeight="false" outlineLevel="0" collapsed="false">
      <c r="A393" s="4" t="n">
        <v>8</v>
      </c>
      <c r="B393" s="4" t="n">
        <v>172</v>
      </c>
      <c r="C393" s="4" t="n">
        <v>222</v>
      </c>
      <c r="D393" s="4" t="n">
        <v>204</v>
      </c>
      <c r="E393" s="6" t="n">
        <v>16.4572744237403</v>
      </c>
      <c r="F393" s="6" t="n">
        <f aca="false">D393+E393</f>
        <v>220.45727442374</v>
      </c>
      <c r="G393" s="6" t="n">
        <f aca="false">F393-C393</f>
        <v>-1.54272557625976</v>
      </c>
      <c r="H393" s="4" t="str">
        <f aca="false">IF(G393&gt;2,"LATE",IF(G393&lt;-13,"EARLY","IN"))</f>
        <v>IN</v>
      </c>
      <c r="I393" s="4" t="n">
        <f aca="false">C393-D393</f>
        <v>18</v>
      </c>
    </row>
    <row r="394" customFormat="false" ht="15" hidden="false" customHeight="false" outlineLevel="0" collapsed="false">
      <c r="A394" s="4" t="n">
        <v>8</v>
      </c>
      <c r="B394" s="4" t="n">
        <v>174</v>
      </c>
      <c r="C394" s="4" t="n">
        <v>178</v>
      </c>
      <c r="D394" s="4" t="n">
        <v>163</v>
      </c>
      <c r="E394" s="6" t="n">
        <v>17.2563593460005</v>
      </c>
      <c r="F394" s="6" t="n">
        <f aca="false">D394+E394</f>
        <v>180.256359346</v>
      </c>
      <c r="G394" s="6" t="n">
        <f aca="false">F394-C394</f>
        <v>2.25635934600047</v>
      </c>
      <c r="H394" s="4" t="str">
        <f aca="false">IF(G394&gt;2,"LATE",IF(G394&lt;-13,"EARLY","IN"))</f>
        <v>LATE</v>
      </c>
      <c r="I394" s="4" t="n">
        <f aca="false">C394-D394</f>
        <v>15</v>
      </c>
    </row>
    <row r="395" customFormat="false" ht="15" hidden="false" customHeight="false" outlineLevel="0" collapsed="false">
      <c r="A395" s="4" t="n">
        <v>8</v>
      </c>
      <c r="B395" s="4" t="n">
        <v>176</v>
      </c>
      <c r="C395" s="4" t="n">
        <v>197</v>
      </c>
      <c r="D395" s="4" t="n">
        <v>171</v>
      </c>
      <c r="E395" s="6" t="n">
        <v>18.067726892429</v>
      </c>
      <c r="F395" s="6" t="n">
        <f aca="false">D395+E395</f>
        <v>189.067726892429</v>
      </c>
      <c r="G395" s="6" t="n">
        <f aca="false">F395-C395</f>
        <v>-7.93227310757104</v>
      </c>
      <c r="H395" s="4" t="str">
        <f aca="false">IF(G395&gt;2,"LATE",IF(G395&lt;-13,"EARLY","IN"))</f>
        <v>IN</v>
      </c>
      <c r="I395" s="4" t="n">
        <f aca="false">C395-D395</f>
        <v>26</v>
      </c>
    </row>
    <row r="396" customFormat="false" ht="15" hidden="false" customHeight="false" outlineLevel="0" collapsed="false">
      <c r="A396" s="4" t="n">
        <v>8</v>
      </c>
      <c r="B396" s="4" t="n">
        <v>178</v>
      </c>
      <c r="C396" s="4" t="n">
        <v>255</v>
      </c>
      <c r="D396" s="4" t="n">
        <v>232</v>
      </c>
      <c r="E396" s="6" t="n">
        <v>18.1811630511338</v>
      </c>
      <c r="F396" s="6" t="n">
        <f aca="false">D396+E396</f>
        <v>250.181163051134</v>
      </c>
      <c r="G396" s="6" t="n">
        <f aca="false">F396-C396</f>
        <v>-4.81883694886622</v>
      </c>
      <c r="H396" s="4" t="str">
        <f aca="false">IF(G396&gt;2,"LATE",IF(G396&lt;-13,"EARLY","IN"))</f>
        <v>IN</v>
      </c>
      <c r="I396" s="4" t="n">
        <f aca="false">C396-D396</f>
        <v>23</v>
      </c>
    </row>
    <row r="397" customFormat="false" ht="15" hidden="false" customHeight="false" outlineLevel="0" collapsed="false">
      <c r="A397" s="4" t="n">
        <v>8</v>
      </c>
      <c r="B397" s="4" t="n">
        <v>181</v>
      </c>
      <c r="C397" s="4" t="n">
        <v>161</v>
      </c>
      <c r="D397" s="4" t="n">
        <v>141</v>
      </c>
      <c r="E397" s="6" t="n">
        <v>15.1277479907337</v>
      </c>
      <c r="F397" s="6" t="n">
        <f aca="false">D397+E397</f>
        <v>156.127747990734</v>
      </c>
      <c r="G397" s="6" t="n">
        <f aca="false">F397-C397</f>
        <v>-4.87225200926633</v>
      </c>
      <c r="H397" s="4" t="str">
        <f aca="false">IF(G397&gt;2,"LATE",IF(G397&lt;-13,"EARLY","IN"))</f>
        <v>IN</v>
      </c>
      <c r="I397" s="4" t="n">
        <f aca="false">C397-D397</f>
        <v>20</v>
      </c>
    </row>
    <row r="398" customFormat="false" ht="15" hidden="false" customHeight="false" outlineLevel="0" collapsed="false">
      <c r="A398" s="4" t="n">
        <v>8</v>
      </c>
      <c r="B398" s="4" t="n">
        <v>204</v>
      </c>
      <c r="C398" s="4" t="n">
        <v>174</v>
      </c>
      <c r="D398" s="4" t="n">
        <v>151</v>
      </c>
      <c r="E398" s="6" t="n">
        <v>17.0491235834956</v>
      </c>
      <c r="F398" s="6" t="n">
        <f aca="false">D398+E398</f>
        <v>168.049123583496</v>
      </c>
      <c r="G398" s="6" t="n">
        <f aca="false">F398-C398</f>
        <v>-5.95087641650437</v>
      </c>
      <c r="H398" s="4" t="str">
        <f aca="false">IF(G398&gt;2,"LATE",IF(G398&lt;-13,"EARLY","IN"))</f>
        <v>IN</v>
      </c>
      <c r="I398" s="4" t="n">
        <f aca="false">C398-D398</f>
        <v>23</v>
      </c>
    </row>
    <row r="399" customFormat="false" ht="15" hidden="false" customHeight="false" outlineLevel="0" collapsed="false">
      <c r="A399" s="4" t="n">
        <v>8</v>
      </c>
      <c r="B399" s="4" t="n">
        <v>210</v>
      </c>
      <c r="C399" s="4" t="n">
        <v>233</v>
      </c>
      <c r="D399" s="4" t="n">
        <v>207</v>
      </c>
      <c r="E399" s="6" t="n">
        <v>17.6850670802039</v>
      </c>
      <c r="F399" s="6" t="n">
        <f aca="false">D399+E399</f>
        <v>224.685067080204</v>
      </c>
      <c r="G399" s="6" t="n">
        <f aca="false">F399-C399</f>
        <v>-8.31493291979606</v>
      </c>
      <c r="H399" s="4" t="str">
        <f aca="false">IF(G399&gt;2,"LATE",IF(G399&lt;-13,"EARLY","IN"))</f>
        <v>IN</v>
      </c>
      <c r="I399" s="4" t="n">
        <f aca="false">C399-D399</f>
        <v>26</v>
      </c>
    </row>
    <row r="400" customFormat="false" ht="15" hidden="false" customHeight="false" outlineLevel="0" collapsed="false">
      <c r="A400" s="4" t="n">
        <v>8</v>
      </c>
      <c r="B400" s="4" t="n">
        <v>211</v>
      </c>
      <c r="C400" s="4" t="n">
        <v>211</v>
      </c>
      <c r="D400" s="4" t="n">
        <v>196</v>
      </c>
      <c r="E400" s="6" t="n">
        <v>15.9804136445481</v>
      </c>
      <c r="F400" s="6" t="n">
        <f aca="false">D400+E400</f>
        <v>211.980413644548</v>
      </c>
      <c r="G400" s="6" t="n">
        <f aca="false">F400-C400</f>
        <v>0.980413644548065</v>
      </c>
      <c r="H400" s="4" t="str">
        <f aca="false">IF(G400&gt;2,"LATE",IF(G400&lt;-13,"EARLY","IN"))</f>
        <v>IN</v>
      </c>
      <c r="I400" s="4" t="n">
        <f aca="false">C400-D400</f>
        <v>15</v>
      </c>
    </row>
    <row r="401" customFormat="false" ht="15" hidden="false" customHeight="false" outlineLevel="0" collapsed="false">
      <c r="A401" s="4" t="n">
        <v>8</v>
      </c>
      <c r="B401" s="4" t="n">
        <v>214</v>
      </c>
      <c r="C401" s="4" t="n">
        <v>150</v>
      </c>
      <c r="D401" s="4" t="n">
        <v>134</v>
      </c>
      <c r="E401" s="6" t="n">
        <v>15.4585765250397</v>
      </c>
      <c r="F401" s="6" t="n">
        <f aca="false">D401+E401</f>
        <v>149.45857652504</v>
      </c>
      <c r="G401" s="6" t="n">
        <f aca="false">F401-C401</f>
        <v>-0.541423474960254</v>
      </c>
      <c r="H401" s="4" t="str">
        <f aca="false">IF(G401&gt;2,"LATE",IF(G401&lt;-13,"EARLY","IN"))</f>
        <v>IN</v>
      </c>
      <c r="I401" s="4" t="n">
        <f aca="false">C401-D401</f>
        <v>16</v>
      </c>
    </row>
    <row r="402" customFormat="false" ht="15" hidden="false" customHeight="false" outlineLevel="0" collapsed="false">
      <c r="A402" s="4" t="n">
        <v>9</v>
      </c>
      <c r="B402" s="4" t="n">
        <v>3</v>
      </c>
      <c r="C402" s="4" t="n">
        <v>150</v>
      </c>
      <c r="D402" s="4" t="n">
        <v>140</v>
      </c>
      <c r="E402" s="6" t="n">
        <v>11.5334429950692</v>
      </c>
      <c r="F402" s="6" t="n">
        <f aca="false">D402+E402</f>
        <v>151.533442995069</v>
      </c>
      <c r="G402" s="6" t="n">
        <f aca="false">F402-C402</f>
        <v>1.53344299506921</v>
      </c>
      <c r="H402" s="4" t="str">
        <f aca="false">IF(G402&gt;2,"LATE",IF(G402&lt;-13,"EARLY","IN"))</f>
        <v>IN</v>
      </c>
      <c r="I402" s="4" t="n">
        <f aca="false">C402-D402</f>
        <v>10</v>
      </c>
    </row>
    <row r="403" customFormat="false" ht="15" hidden="false" customHeight="false" outlineLevel="0" collapsed="false">
      <c r="A403" s="4" t="n">
        <v>9</v>
      </c>
      <c r="B403" s="4" t="n">
        <v>6</v>
      </c>
      <c r="C403" s="4" t="n">
        <v>225</v>
      </c>
      <c r="D403" s="4" t="n">
        <v>207</v>
      </c>
      <c r="E403" s="6" t="n">
        <v>13.8836577104562</v>
      </c>
      <c r="F403" s="6" t="n">
        <f aca="false">D403+E403</f>
        <v>220.883657710456</v>
      </c>
      <c r="G403" s="6" t="n">
        <f aca="false">F403-C403</f>
        <v>-4.11634228954375</v>
      </c>
      <c r="H403" s="4" t="str">
        <f aca="false">IF(G403&gt;2,"LATE",IF(G403&lt;-13,"EARLY","IN"))</f>
        <v>IN</v>
      </c>
      <c r="I403" s="4" t="n">
        <f aca="false">C403-D403</f>
        <v>18</v>
      </c>
    </row>
    <row r="404" customFormat="false" ht="15" hidden="false" customHeight="false" outlineLevel="0" collapsed="false">
      <c r="A404" s="4" t="n">
        <v>9</v>
      </c>
      <c r="B404" s="4" t="n">
        <v>9</v>
      </c>
      <c r="C404" s="4" t="n">
        <v>181</v>
      </c>
      <c r="D404" s="4" t="n">
        <v>155</v>
      </c>
      <c r="E404" s="6" t="n">
        <v>11.7347129141482</v>
      </c>
      <c r="F404" s="6" t="n">
        <f aca="false">D404+E404</f>
        <v>166.734712914148</v>
      </c>
      <c r="G404" s="6" t="n">
        <f aca="false">F404-C404</f>
        <v>-14.2652870858518</v>
      </c>
      <c r="H404" s="4" t="str">
        <f aca="false">IF(G404&gt;2,"LATE",IF(G404&lt;-13,"EARLY","IN"))</f>
        <v>EARLY</v>
      </c>
      <c r="I404" s="4" t="n">
        <f aca="false">C404-D404</f>
        <v>26</v>
      </c>
    </row>
    <row r="405" customFormat="false" ht="15" hidden="false" customHeight="false" outlineLevel="0" collapsed="false">
      <c r="A405" s="4" t="n">
        <v>9</v>
      </c>
      <c r="B405" s="4" t="n">
        <v>10</v>
      </c>
      <c r="C405" s="4" t="n">
        <v>228</v>
      </c>
      <c r="D405" s="4" t="n">
        <v>209</v>
      </c>
      <c r="E405" s="6" t="n">
        <v>15.7085349661956</v>
      </c>
      <c r="F405" s="6" t="n">
        <f aca="false">D405+E405</f>
        <v>224.708534966196</v>
      </c>
      <c r="G405" s="6" t="n">
        <f aca="false">F405-C405</f>
        <v>-3.29146503380437</v>
      </c>
      <c r="H405" s="4" t="str">
        <f aca="false">IF(G405&gt;2,"LATE",IF(G405&lt;-13,"EARLY","IN"))</f>
        <v>IN</v>
      </c>
      <c r="I405" s="4" t="n">
        <f aca="false">C405-D405</f>
        <v>19</v>
      </c>
    </row>
    <row r="406" customFormat="false" ht="15" hidden="false" customHeight="false" outlineLevel="0" collapsed="false">
      <c r="A406" s="4" t="n">
        <v>9</v>
      </c>
      <c r="B406" s="4" t="n">
        <v>11</v>
      </c>
      <c r="C406" s="4" t="n">
        <v>210</v>
      </c>
      <c r="D406" s="4" t="n">
        <v>184</v>
      </c>
      <c r="E406" s="6" t="n">
        <v>16.8390098149334</v>
      </c>
      <c r="F406" s="6" t="n">
        <f aca="false">D406+E406</f>
        <v>200.839009814933</v>
      </c>
      <c r="G406" s="6" t="n">
        <f aca="false">F406-C406</f>
        <v>-9.1609901850666</v>
      </c>
      <c r="H406" s="4" t="str">
        <f aca="false">IF(G406&gt;2,"LATE",IF(G406&lt;-13,"EARLY","IN"))</f>
        <v>IN</v>
      </c>
      <c r="I406" s="4" t="n">
        <f aca="false">C406-D406</f>
        <v>26</v>
      </c>
    </row>
    <row r="407" customFormat="false" ht="15" hidden="false" customHeight="false" outlineLevel="0" collapsed="false">
      <c r="A407" s="4" t="n">
        <v>9</v>
      </c>
      <c r="B407" s="4" t="n">
        <v>19</v>
      </c>
      <c r="C407" s="4" t="n">
        <v>167</v>
      </c>
      <c r="D407" s="4" t="n">
        <v>147</v>
      </c>
      <c r="E407" s="6" t="n">
        <v>11.1727888066625</v>
      </c>
      <c r="F407" s="6" t="n">
        <f aca="false">D407+E407</f>
        <v>158.172788806662</v>
      </c>
      <c r="G407" s="6" t="n">
        <f aca="false">F407-C407</f>
        <v>-8.82721119333755</v>
      </c>
      <c r="H407" s="4" t="str">
        <f aca="false">IF(G407&gt;2,"LATE",IF(G407&lt;-13,"EARLY","IN"))</f>
        <v>IN</v>
      </c>
      <c r="I407" s="4" t="n">
        <f aca="false">C407-D407</f>
        <v>20</v>
      </c>
    </row>
    <row r="408" customFormat="false" ht="15" hidden="false" customHeight="false" outlineLevel="0" collapsed="false">
      <c r="A408" s="4" t="n">
        <v>9</v>
      </c>
      <c r="B408" s="4" t="n">
        <v>24</v>
      </c>
      <c r="C408" s="4" t="n">
        <v>191</v>
      </c>
      <c r="D408" s="4" t="n">
        <v>171</v>
      </c>
      <c r="E408" s="6" t="n">
        <v>16.6745923369526</v>
      </c>
      <c r="F408" s="6" t="n">
        <f aca="false">D408+E408</f>
        <v>187.674592336953</v>
      </c>
      <c r="G408" s="6" t="n">
        <f aca="false">F408-C408</f>
        <v>-3.32540766304743</v>
      </c>
      <c r="H408" s="4" t="str">
        <f aca="false">IF(G408&gt;2,"LATE",IF(G408&lt;-13,"EARLY","IN"))</f>
        <v>IN</v>
      </c>
      <c r="I408" s="4" t="n">
        <f aca="false">C408-D408</f>
        <v>20</v>
      </c>
    </row>
    <row r="409" customFormat="false" ht="15" hidden="false" customHeight="false" outlineLevel="0" collapsed="false">
      <c r="A409" s="4" t="n">
        <v>9</v>
      </c>
      <c r="B409" s="4" t="n">
        <v>29</v>
      </c>
      <c r="C409" s="4" t="n">
        <v>228</v>
      </c>
      <c r="D409" s="4" t="n">
        <v>210</v>
      </c>
      <c r="E409" s="6" t="n">
        <v>14.9458784258907</v>
      </c>
      <c r="F409" s="6" t="n">
        <f aca="false">D409+E409</f>
        <v>224.945878425891</v>
      </c>
      <c r="G409" s="6" t="n">
        <f aca="false">F409-C409</f>
        <v>-3.05412157410933</v>
      </c>
      <c r="H409" s="4" t="str">
        <f aca="false">IF(G409&gt;2,"LATE",IF(G409&lt;-13,"EARLY","IN"))</f>
        <v>IN</v>
      </c>
      <c r="I409" s="4" t="n">
        <f aca="false">C409-D409</f>
        <v>18</v>
      </c>
    </row>
    <row r="410" customFormat="false" ht="15" hidden="false" customHeight="false" outlineLevel="0" collapsed="false">
      <c r="A410" s="4" t="n">
        <v>9</v>
      </c>
      <c r="B410" s="4" t="n">
        <v>39</v>
      </c>
      <c r="C410" s="4" t="n">
        <v>161</v>
      </c>
      <c r="D410" s="4" t="n">
        <v>142</v>
      </c>
      <c r="E410" s="6" t="n">
        <v>16.0437585321613</v>
      </c>
      <c r="F410" s="6" t="n">
        <f aca="false">D410+E410</f>
        <v>158.043758532161</v>
      </c>
      <c r="G410" s="6" t="n">
        <f aca="false">F410-C410</f>
        <v>-2.95624146783871</v>
      </c>
      <c r="H410" s="4" t="str">
        <f aca="false">IF(G410&gt;2,"LATE",IF(G410&lt;-13,"EARLY","IN"))</f>
        <v>IN</v>
      </c>
      <c r="I410" s="4" t="n">
        <f aca="false">C410-D410</f>
        <v>19</v>
      </c>
    </row>
    <row r="411" customFormat="false" ht="15" hidden="false" customHeight="false" outlineLevel="0" collapsed="false">
      <c r="A411" s="4" t="n">
        <v>9</v>
      </c>
      <c r="B411" s="4" t="n">
        <v>41</v>
      </c>
      <c r="C411" s="4" t="n">
        <v>201</v>
      </c>
      <c r="D411" s="4" t="n">
        <v>184</v>
      </c>
      <c r="E411" s="6" t="n">
        <v>12.2122456674206</v>
      </c>
      <c r="F411" s="6" t="n">
        <f aca="false">D411+E411</f>
        <v>196.212245667421</v>
      </c>
      <c r="G411" s="6" t="n">
        <f aca="false">F411-C411</f>
        <v>-4.78775433257943</v>
      </c>
      <c r="H411" s="4" t="str">
        <f aca="false">IF(G411&gt;2,"LATE",IF(G411&lt;-13,"EARLY","IN"))</f>
        <v>IN</v>
      </c>
      <c r="I411" s="4" t="n">
        <f aca="false">C411-D411</f>
        <v>17</v>
      </c>
    </row>
    <row r="412" customFormat="false" ht="15" hidden="false" customHeight="false" outlineLevel="0" collapsed="false">
      <c r="A412" s="4" t="n">
        <v>9</v>
      </c>
      <c r="B412" s="4" t="n">
        <v>45</v>
      </c>
      <c r="C412" s="4" t="n">
        <v>242</v>
      </c>
      <c r="D412" s="4" t="n">
        <v>217</v>
      </c>
      <c r="E412" s="6" t="n">
        <v>16.1402534188616</v>
      </c>
      <c r="F412" s="6" t="n">
        <f aca="false">D412+E412</f>
        <v>233.140253418862</v>
      </c>
      <c r="G412" s="6" t="n">
        <f aca="false">F412-C412</f>
        <v>-8.85974658113838</v>
      </c>
      <c r="H412" s="4" t="str">
        <f aca="false">IF(G412&gt;2,"LATE",IF(G412&lt;-13,"EARLY","IN"))</f>
        <v>IN</v>
      </c>
      <c r="I412" s="4" t="n">
        <f aca="false">C412-D412</f>
        <v>25</v>
      </c>
    </row>
    <row r="413" customFormat="false" ht="15" hidden="false" customHeight="false" outlineLevel="0" collapsed="false">
      <c r="A413" s="4" t="n">
        <v>9</v>
      </c>
      <c r="B413" s="4" t="n">
        <v>46</v>
      </c>
      <c r="C413" s="4" t="n">
        <v>277</v>
      </c>
      <c r="D413" s="4" t="n">
        <v>246</v>
      </c>
      <c r="E413" s="6" t="n">
        <v>18.6837860628205</v>
      </c>
      <c r="F413" s="6" t="n">
        <f aca="false">D413+E413</f>
        <v>264.68378606282</v>
      </c>
      <c r="G413" s="6" t="n">
        <f aca="false">F413-C413</f>
        <v>-12.3162139371796</v>
      </c>
      <c r="H413" s="4" t="str">
        <f aca="false">IF(G413&gt;2,"LATE",IF(G413&lt;-13,"EARLY","IN"))</f>
        <v>IN</v>
      </c>
      <c r="I413" s="4" t="n">
        <f aca="false">C413-D413</f>
        <v>31</v>
      </c>
    </row>
    <row r="414" customFormat="false" ht="15" hidden="false" customHeight="false" outlineLevel="0" collapsed="false">
      <c r="A414" s="4" t="n">
        <v>9</v>
      </c>
      <c r="B414" s="4" t="n">
        <v>50</v>
      </c>
      <c r="C414" s="4" t="n">
        <v>223</v>
      </c>
      <c r="D414" s="4" t="n">
        <v>203</v>
      </c>
      <c r="E414" s="6" t="n">
        <v>12.7042871181356</v>
      </c>
      <c r="F414" s="6" t="n">
        <f aca="false">D414+E414</f>
        <v>215.704287118136</v>
      </c>
      <c r="G414" s="6" t="n">
        <f aca="false">F414-C414</f>
        <v>-7.29571288186443</v>
      </c>
      <c r="H414" s="4" t="str">
        <f aca="false">IF(G414&gt;2,"LATE",IF(G414&lt;-13,"EARLY","IN"))</f>
        <v>IN</v>
      </c>
      <c r="I414" s="4" t="n">
        <f aca="false">C414-D414</f>
        <v>20</v>
      </c>
    </row>
    <row r="415" customFormat="false" ht="15" hidden="false" customHeight="false" outlineLevel="0" collapsed="false">
      <c r="A415" s="4" t="n">
        <v>9</v>
      </c>
      <c r="B415" s="4" t="n">
        <v>54</v>
      </c>
      <c r="C415" s="4" t="n">
        <v>249</v>
      </c>
      <c r="D415" s="4" t="n">
        <v>232</v>
      </c>
      <c r="E415" s="6" t="n">
        <v>15.2131276146344</v>
      </c>
      <c r="F415" s="6" t="n">
        <f aca="false">D415+E415</f>
        <v>247.213127614634</v>
      </c>
      <c r="G415" s="6" t="n">
        <f aca="false">F415-C415</f>
        <v>-1.7868723853656</v>
      </c>
      <c r="H415" s="4" t="str">
        <f aca="false">IF(G415&gt;2,"LATE",IF(G415&lt;-13,"EARLY","IN"))</f>
        <v>IN</v>
      </c>
      <c r="I415" s="4" t="n">
        <f aca="false">C415-D415</f>
        <v>17</v>
      </c>
    </row>
    <row r="416" customFormat="false" ht="15" hidden="false" customHeight="false" outlineLevel="0" collapsed="false">
      <c r="A416" s="4" t="n">
        <v>9</v>
      </c>
      <c r="B416" s="4" t="n">
        <v>55</v>
      </c>
      <c r="C416" s="4" t="n">
        <v>147</v>
      </c>
      <c r="D416" s="4" t="n">
        <v>131</v>
      </c>
      <c r="E416" s="6" t="n">
        <v>12.1438593914073</v>
      </c>
      <c r="F416" s="6" t="n">
        <f aca="false">D416+E416</f>
        <v>143.143859391407</v>
      </c>
      <c r="G416" s="6" t="n">
        <f aca="false">F416-C416</f>
        <v>-3.85614060859274</v>
      </c>
      <c r="H416" s="4" t="str">
        <f aca="false">IF(G416&gt;2,"LATE",IF(G416&lt;-13,"EARLY","IN"))</f>
        <v>IN</v>
      </c>
      <c r="I416" s="4" t="n">
        <f aca="false">C416-D416</f>
        <v>16</v>
      </c>
    </row>
    <row r="417" customFormat="false" ht="15" hidden="false" customHeight="false" outlineLevel="0" collapsed="false">
      <c r="A417" s="4" t="n">
        <v>9</v>
      </c>
      <c r="B417" s="4" t="n">
        <v>56</v>
      </c>
      <c r="C417" s="4" t="n">
        <v>162</v>
      </c>
      <c r="D417" s="4" t="n">
        <v>146</v>
      </c>
      <c r="E417" s="6" t="n">
        <v>16.141931745197</v>
      </c>
      <c r="F417" s="6" t="n">
        <f aca="false">D417+E417</f>
        <v>162.141931745197</v>
      </c>
      <c r="G417" s="6" t="n">
        <f aca="false">F417-C417</f>
        <v>0.141931745197041</v>
      </c>
      <c r="H417" s="4" t="str">
        <f aca="false">IF(G417&gt;2,"LATE",IF(G417&lt;-13,"EARLY","IN"))</f>
        <v>IN</v>
      </c>
      <c r="I417" s="4" t="n">
        <f aca="false">C417-D417</f>
        <v>16</v>
      </c>
    </row>
    <row r="418" customFormat="false" ht="15" hidden="false" customHeight="false" outlineLevel="0" collapsed="false">
      <c r="A418" s="4" t="n">
        <v>9</v>
      </c>
      <c r="B418" s="4" t="n">
        <v>57</v>
      </c>
      <c r="C418" s="4" t="n">
        <v>150</v>
      </c>
      <c r="D418" s="4" t="n">
        <v>130</v>
      </c>
      <c r="E418" s="6" t="n">
        <v>10.8234892666211</v>
      </c>
      <c r="F418" s="6" t="n">
        <f aca="false">D418+E418</f>
        <v>140.823489266621</v>
      </c>
      <c r="G418" s="6" t="n">
        <f aca="false">F418-C418</f>
        <v>-9.17651073337885</v>
      </c>
      <c r="H418" s="4" t="str">
        <f aca="false">IF(G418&gt;2,"LATE",IF(G418&lt;-13,"EARLY","IN"))</f>
        <v>IN</v>
      </c>
      <c r="I418" s="4" t="n">
        <f aca="false">C418-D418</f>
        <v>20</v>
      </c>
    </row>
    <row r="419" customFormat="false" ht="15" hidden="false" customHeight="false" outlineLevel="0" collapsed="false">
      <c r="A419" s="4" t="n">
        <v>9</v>
      </c>
      <c r="B419" s="4" t="n">
        <v>59</v>
      </c>
      <c r="C419" s="4" t="n">
        <v>169</v>
      </c>
      <c r="D419" s="4" t="n">
        <v>153</v>
      </c>
      <c r="E419" s="6" t="n">
        <v>14.0463752218803</v>
      </c>
      <c r="F419" s="6" t="n">
        <f aca="false">D419+E419</f>
        <v>167.04637522188</v>
      </c>
      <c r="G419" s="6" t="n">
        <f aca="false">F419-C419</f>
        <v>-1.95362477811966</v>
      </c>
      <c r="H419" s="4" t="str">
        <f aca="false">IF(G419&gt;2,"LATE",IF(G419&lt;-13,"EARLY","IN"))</f>
        <v>IN</v>
      </c>
      <c r="I419" s="4" t="n">
        <f aca="false">C419-D419</f>
        <v>16</v>
      </c>
    </row>
    <row r="420" customFormat="false" ht="15" hidden="false" customHeight="false" outlineLevel="0" collapsed="false">
      <c r="A420" s="4" t="n">
        <v>9</v>
      </c>
      <c r="B420" s="4" t="n">
        <v>68</v>
      </c>
      <c r="C420" s="4" t="n">
        <v>204</v>
      </c>
      <c r="D420" s="4" t="n">
        <v>188</v>
      </c>
      <c r="E420" s="6" t="n">
        <v>14.0404405386995</v>
      </c>
      <c r="F420" s="6" t="n">
        <f aca="false">D420+E420</f>
        <v>202.0404405387</v>
      </c>
      <c r="G420" s="6" t="n">
        <f aca="false">F420-C420</f>
        <v>-1.9595594613005</v>
      </c>
      <c r="H420" s="4" t="str">
        <f aca="false">IF(G420&gt;2,"LATE",IF(G420&lt;-13,"EARLY","IN"))</f>
        <v>IN</v>
      </c>
      <c r="I420" s="4" t="n">
        <f aca="false">C420-D420</f>
        <v>16</v>
      </c>
    </row>
    <row r="421" customFormat="false" ht="15" hidden="false" customHeight="false" outlineLevel="0" collapsed="false">
      <c r="A421" s="4" t="n">
        <v>9</v>
      </c>
      <c r="B421" s="4" t="n">
        <v>84</v>
      </c>
      <c r="C421" s="4" t="n">
        <v>206</v>
      </c>
      <c r="D421" s="4" t="n">
        <v>181</v>
      </c>
      <c r="E421" s="6" t="n">
        <v>19.2502015397929</v>
      </c>
      <c r="F421" s="6" t="n">
        <f aca="false">D421+E421</f>
        <v>200.250201539793</v>
      </c>
      <c r="G421" s="6" t="n">
        <f aca="false">F421-C421</f>
        <v>-5.74979846020707</v>
      </c>
      <c r="H421" s="4" t="str">
        <f aca="false">IF(G421&gt;2,"LATE",IF(G421&lt;-13,"EARLY","IN"))</f>
        <v>IN</v>
      </c>
      <c r="I421" s="4" t="n">
        <f aca="false">C421-D421</f>
        <v>25</v>
      </c>
    </row>
    <row r="422" customFormat="false" ht="15" hidden="false" customHeight="false" outlineLevel="0" collapsed="false">
      <c r="A422" s="4" t="n">
        <v>9</v>
      </c>
      <c r="B422" s="4" t="n">
        <v>85</v>
      </c>
      <c r="C422" s="4" t="n">
        <v>246</v>
      </c>
      <c r="D422" s="4" t="n">
        <v>225</v>
      </c>
      <c r="E422" s="6" t="n">
        <v>16.7797853029575</v>
      </c>
      <c r="F422" s="6" t="n">
        <f aca="false">D422+E422</f>
        <v>241.779785302957</v>
      </c>
      <c r="G422" s="6" t="n">
        <f aca="false">F422-C422</f>
        <v>-4.22021469704254</v>
      </c>
      <c r="H422" s="4" t="str">
        <f aca="false">IF(G422&gt;2,"LATE",IF(G422&lt;-13,"EARLY","IN"))</f>
        <v>IN</v>
      </c>
      <c r="I422" s="4" t="n">
        <f aca="false">C422-D422</f>
        <v>21</v>
      </c>
    </row>
    <row r="423" customFormat="false" ht="15" hidden="false" customHeight="false" outlineLevel="0" collapsed="false">
      <c r="A423" s="4" t="n">
        <v>9</v>
      </c>
      <c r="B423" s="4" t="n">
        <v>86</v>
      </c>
      <c r="C423" s="4" t="n">
        <v>205</v>
      </c>
      <c r="D423" s="4" t="n">
        <v>188</v>
      </c>
      <c r="E423" s="6" t="n">
        <v>11.5112623763309</v>
      </c>
      <c r="F423" s="6" t="n">
        <f aca="false">D423+E423</f>
        <v>199.511262376331</v>
      </c>
      <c r="G423" s="6" t="n">
        <f aca="false">F423-C423</f>
        <v>-5.4887376236691</v>
      </c>
      <c r="H423" s="4" t="str">
        <f aca="false">IF(G423&gt;2,"LATE",IF(G423&lt;-13,"EARLY","IN"))</f>
        <v>IN</v>
      </c>
      <c r="I423" s="4" t="n">
        <f aca="false">C423-D423</f>
        <v>17</v>
      </c>
    </row>
    <row r="424" customFormat="false" ht="15" hidden="false" customHeight="false" outlineLevel="0" collapsed="false">
      <c r="A424" s="4" t="n">
        <v>9</v>
      </c>
      <c r="B424" s="4" t="n">
        <v>90</v>
      </c>
      <c r="C424" s="4" t="n">
        <v>190</v>
      </c>
      <c r="D424" s="4" t="n">
        <v>170</v>
      </c>
      <c r="E424" s="6" t="n">
        <v>13.6016808253426</v>
      </c>
      <c r="F424" s="6" t="n">
        <f aca="false">D424+E424</f>
        <v>183.601680825343</v>
      </c>
      <c r="G424" s="6" t="n">
        <f aca="false">F424-C424</f>
        <v>-6.39831917465745</v>
      </c>
      <c r="H424" s="4" t="str">
        <f aca="false">IF(G424&gt;2,"LATE",IF(G424&lt;-13,"EARLY","IN"))</f>
        <v>IN</v>
      </c>
      <c r="I424" s="4" t="n">
        <f aca="false">C424-D424</f>
        <v>20</v>
      </c>
    </row>
    <row r="425" customFormat="false" ht="15" hidden="false" customHeight="false" outlineLevel="0" collapsed="false">
      <c r="A425" s="4" t="n">
        <v>9</v>
      </c>
      <c r="B425" s="4" t="n">
        <v>92</v>
      </c>
      <c r="C425" s="4" t="n">
        <v>207</v>
      </c>
      <c r="D425" s="4" t="n">
        <v>185</v>
      </c>
      <c r="E425" s="6" t="n">
        <v>15.9440571451234</v>
      </c>
      <c r="F425" s="6" t="n">
        <f aca="false">D425+E425</f>
        <v>200.944057145123</v>
      </c>
      <c r="G425" s="6" t="n">
        <f aca="false">F425-C425</f>
        <v>-6.05594285487661</v>
      </c>
      <c r="H425" s="4" t="str">
        <f aca="false">IF(G425&gt;2,"LATE",IF(G425&lt;-13,"EARLY","IN"))</f>
        <v>IN</v>
      </c>
      <c r="I425" s="4" t="n">
        <f aca="false">C425-D425</f>
        <v>22</v>
      </c>
    </row>
    <row r="426" customFormat="false" ht="15" hidden="false" customHeight="false" outlineLevel="0" collapsed="false">
      <c r="A426" s="4" t="n">
        <v>9</v>
      </c>
      <c r="B426" s="4" t="n">
        <v>94</v>
      </c>
      <c r="C426" s="4" t="n">
        <v>209</v>
      </c>
      <c r="D426" s="4" t="n">
        <v>190</v>
      </c>
      <c r="E426" s="6" t="n">
        <v>13.0837867756902</v>
      </c>
      <c r="F426" s="6" t="n">
        <f aca="false">D426+E426</f>
        <v>203.08378677569</v>
      </c>
      <c r="G426" s="6" t="n">
        <f aca="false">F426-C426</f>
        <v>-5.91621322430981</v>
      </c>
      <c r="H426" s="4" t="str">
        <f aca="false">IF(G426&gt;2,"LATE",IF(G426&lt;-13,"EARLY","IN"))</f>
        <v>IN</v>
      </c>
      <c r="I426" s="4" t="n">
        <f aca="false">C426-D426</f>
        <v>19</v>
      </c>
    </row>
    <row r="427" customFormat="false" ht="15" hidden="false" customHeight="false" outlineLevel="0" collapsed="false">
      <c r="A427" s="4" t="n">
        <v>9</v>
      </c>
      <c r="B427" s="4" t="n">
        <v>100</v>
      </c>
      <c r="C427" s="4" t="n">
        <v>213</v>
      </c>
      <c r="D427" s="4" t="n">
        <v>194</v>
      </c>
      <c r="E427" s="6" t="n">
        <v>14.9068715828351</v>
      </c>
      <c r="F427" s="6" t="n">
        <f aca="false">D427+E427</f>
        <v>208.906871582835</v>
      </c>
      <c r="G427" s="6" t="n">
        <f aca="false">F427-C427</f>
        <v>-4.09312841716491</v>
      </c>
      <c r="H427" s="4" t="str">
        <f aca="false">IF(G427&gt;2,"LATE",IF(G427&lt;-13,"EARLY","IN"))</f>
        <v>IN</v>
      </c>
      <c r="I427" s="4" t="n">
        <f aca="false">C427-D427</f>
        <v>19</v>
      </c>
    </row>
    <row r="428" customFormat="false" ht="15" hidden="false" customHeight="false" outlineLevel="0" collapsed="false">
      <c r="A428" s="4" t="n">
        <v>9</v>
      </c>
      <c r="B428" s="4" t="n">
        <v>103</v>
      </c>
      <c r="C428" s="4" t="n">
        <v>243</v>
      </c>
      <c r="D428" s="4" t="n">
        <v>226</v>
      </c>
      <c r="E428" s="6" t="n">
        <v>13.9492563206298</v>
      </c>
      <c r="F428" s="6" t="n">
        <f aca="false">D428+E428</f>
        <v>239.94925632063</v>
      </c>
      <c r="G428" s="6" t="n">
        <f aca="false">F428-C428</f>
        <v>-3.05074367937019</v>
      </c>
      <c r="H428" s="4" t="str">
        <f aca="false">IF(G428&gt;2,"LATE",IF(G428&lt;-13,"EARLY","IN"))</f>
        <v>IN</v>
      </c>
      <c r="I428" s="4" t="n">
        <f aca="false">C428-D428</f>
        <v>17</v>
      </c>
    </row>
    <row r="429" customFormat="false" ht="15" hidden="false" customHeight="false" outlineLevel="0" collapsed="false">
      <c r="A429" s="4" t="n">
        <v>9</v>
      </c>
      <c r="B429" s="4" t="n">
        <v>104</v>
      </c>
      <c r="C429" s="4" t="n">
        <v>178</v>
      </c>
      <c r="D429" s="4" t="n">
        <v>163</v>
      </c>
      <c r="E429" s="6" t="n">
        <v>16.1849470847805</v>
      </c>
      <c r="F429" s="6" t="n">
        <f aca="false">D429+E429</f>
        <v>179.184947084781</v>
      </c>
      <c r="G429" s="6" t="n">
        <f aca="false">F429-C429</f>
        <v>1.1849470847805</v>
      </c>
      <c r="H429" s="4" t="str">
        <f aca="false">IF(G429&gt;2,"LATE",IF(G429&lt;-13,"EARLY","IN"))</f>
        <v>IN</v>
      </c>
      <c r="I429" s="4" t="n">
        <f aca="false">C429-D429</f>
        <v>15</v>
      </c>
    </row>
    <row r="430" customFormat="false" ht="15" hidden="false" customHeight="false" outlineLevel="0" collapsed="false">
      <c r="A430" s="4" t="n">
        <v>9</v>
      </c>
      <c r="B430" s="4" t="n">
        <v>110</v>
      </c>
      <c r="C430" s="4" t="n">
        <v>277</v>
      </c>
      <c r="D430" s="4" t="n">
        <v>251</v>
      </c>
      <c r="E430" s="6" t="n">
        <v>14.1628880002433</v>
      </c>
      <c r="F430" s="6" t="n">
        <f aca="false">D430+E430</f>
        <v>265.162888000243</v>
      </c>
      <c r="G430" s="6" t="n">
        <f aca="false">F430-C430</f>
        <v>-11.8371119997568</v>
      </c>
      <c r="H430" s="4" t="str">
        <f aca="false">IF(G430&gt;2,"LATE",IF(G430&lt;-13,"EARLY","IN"))</f>
        <v>IN</v>
      </c>
      <c r="I430" s="4" t="n">
        <f aca="false">C430-D430</f>
        <v>26</v>
      </c>
    </row>
    <row r="431" customFormat="false" ht="15" hidden="false" customHeight="false" outlineLevel="0" collapsed="false">
      <c r="A431" s="4" t="n">
        <v>9</v>
      </c>
      <c r="B431" s="4" t="n">
        <v>113</v>
      </c>
      <c r="C431" s="4" t="n">
        <v>160</v>
      </c>
      <c r="D431" s="4" t="n">
        <v>140</v>
      </c>
      <c r="E431" s="6" t="n">
        <v>15.7996277540232</v>
      </c>
      <c r="F431" s="6" t="n">
        <f aca="false">D431+E431</f>
        <v>155.799627754023</v>
      </c>
      <c r="G431" s="6" t="n">
        <f aca="false">F431-C431</f>
        <v>-4.20037224597684</v>
      </c>
      <c r="H431" s="4" t="str">
        <f aca="false">IF(G431&gt;2,"LATE",IF(G431&lt;-13,"EARLY","IN"))</f>
        <v>IN</v>
      </c>
      <c r="I431" s="4" t="n">
        <f aca="false">C431-D431</f>
        <v>20</v>
      </c>
    </row>
    <row r="432" customFormat="false" ht="15" hidden="false" customHeight="false" outlineLevel="0" collapsed="false">
      <c r="A432" s="4" t="n">
        <v>9</v>
      </c>
      <c r="B432" s="4" t="n">
        <v>124</v>
      </c>
      <c r="C432" s="4" t="n">
        <v>197</v>
      </c>
      <c r="D432" s="4" t="n">
        <v>181</v>
      </c>
      <c r="E432" s="6" t="n">
        <v>13.4120000627448</v>
      </c>
      <c r="F432" s="6" t="n">
        <f aca="false">D432+E432</f>
        <v>194.412000062745</v>
      </c>
      <c r="G432" s="6" t="n">
        <f aca="false">F432-C432</f>
        <v>-2.58799993725518</v>
      </c>
      <c r="H432" s="4" t="str">
        <f aca="false">IF(G432&gt;2,"LATE",IF(G432&lt;-13,"EARLY","IN"))</f>
        <v>IN</v>
      </c>
      <c r="I432" s="4" t="n">
        <f aca="false">C432-D432</f>
        <v>16</v>
      </c>
    </row>
    <row r="433" customFormat="false" ht="15" hidden="false" customHeight="false" outlineLevel="0" collapsed="false">
      <c r="A433" s="4" t="n">
        <v>9</v>
      </c>
      <c r="B433" s="4" t="n">
        <v>127</v>
      </c>
      <c r="C433" s="4" t="n">
        <v>163</v>
      </c>
      <c r="D433" s="4" t="n">
        <v>143</v>
      </c>
      <c r="E433" s="6" t="n">
        <v>16.8773548011988</v>
      </c>
      <c r="F433" s="6" t="n">
        <f aca="false">D433+E433</f>
        <v>159.877354801199</v>
      </c>
      <c r="G433" s="6" t="n">
        <f aca="false">F433-C433</f>
        <v>-3.12264519880119</v>
      </c>
      <c r="H433" s="4" t="str">
        <f aca="false">IF(G433&gt;2,"LATE",IF(G433&lt;-13,"EARLY","IN"))</f>
        <v>IN</v>
      </c>
      <c r="I433" s="4" t="n">
        <f aca="false">C433-D433</f>
        <v>20</v>
      </c>
    </row>
    <row r="434" customFormat="false" ht="15" hidden="false" customHeight="false" outlineLevel="0" collapsed="false">
      <c r="A434" s="4" t="n">
        <v>9</v>
      </c>
      <c r="B434" s="4" t="n">
        <v>129</v>
      </c>
      <c r="C434" s="4" t="n">
        <v>147</v>
      </c>
      <c r="D434" s="4" t="n">
        <v>131</v>
      </c>
      <c r="E434" s="6" t="n">
        <v>13.608250309564</v>
      </c>
      <c r="F434" s="6" t="n">
        <f aca="false">D434+E434</f>
        <v>144.608250309564</v>
      </c>
      <c r="G434" s="6" t="n">
        <f aca="false">F434-C434</f>
        <v>-2.39174969043606</v>
      </c>
      <c r="H434" s="4" t="str">
        <f aca="false">IF(G434&gt;2,"LATE",IF(G434&lt;-13,"EARLY","IN"))</f>
        <v>IN</v>
      </c>
      <c r="I434" s="4" t="n">
        <f aca="false">C434-D434</f>
        <v>16</v>
      </c>
    </row>
    <row r="435" customFormat="false" ht="15" hidden="false" customHeight="false" outlineLevel="0" collapsed="false">
      <c r="A435" s="4" t="n">
        <v>9</v>
      </c>
      <c r="B435" s="4" t="n">
        <v>139</v>
      </c>
      <c r="C435" s="4" t="n">
        <v>211</v>
      </c>
      <c r="D435" s="4" t="n">
        <v>195</v>
      </c>
      <c r="E435" s="6" t="n">
        <v>11.9936991723751</v>
      </c>
      <c r="F435" s="6" t="n">
        <f aca="false">D435+E435</f>
        <v>206.993699172375</v>
      </c>
      <c r="G435" s="6" t="n">
        <f aca="false">F435-C435</f>
        <v>-4.00630082762493</v>
      </c>
      <c r="H435" s="4" t="str">
        <f aca="false">IF(G435&gt;2,"LATE",IF(G435&lt;-13,"EARLY","IN"))</f>
        <v>IN</v>
      </c>
      <c r="I435" s="4" t="n">
        <f aca="false">C435-D435</f>
        <v>16</v>
      </c>
    </row>
    <row r="436" customFormat="false" ht="15" hidden="false" customHeight="false" outlineLevel="0" collapsed="false">
      <c r="A436" s="4" t="n">
        <v>9</v>
      </c>
      <c r="B436" s="4" t="n">
        <v>147</v>
      </c>
      <c r="C436" s="4" t="n">
        <v>323</v>
      </c>
      <c r="D436" s="4" t="n">
        <v>285</v>
      </c>
      <c r="E436" s="6" t="n">
        <v>15.7388219885655</v>
      </c>
      <c r="F436" s="6" t="n">
        <f aca="false">D436+E436</f>
        <v>300.738821988565</v>
      </c>
      <c r="G436" s="6" t="n">
        <f aca="false">F436-C436</f>
        <v>-22.2611780114345</v>
      </c>
      <c r="H436" s="4" t="str">
        <f aca="false">IF(G436&gt;2,"LATE",IF(G436&lt;-13,"EARLY","IN"))</f>
        <v>EARLY</v>
      </c>
      <c r="I436" s="4" t="n">
        <f aca="false">C436-D436</f>
        <v>38</v>
      </c>
    </row>
    <row r="437" customFormat="false" ht="15" hidden="false" customHeight="false" outlineLevel="0" collapsed="false">
      <c r="A437" s="4" t="n">
        <v>9</v>
      </c>
      <c r="B437" s="4" t="n">
        <v>148</v>
      </c>
      <c r="C437" s="4" t="n">
        <v>264</v>
      </c>
      <c r="D437" s="4" t="n">
        <v>242</v>
      </c>
      <c r="E437" s="6" t="n">
        <v>18.3204367888266</v>
      </c>
      <c r="F437" s="6" t="n">
        <f aca="false">D437+E437</f>
        <v>260.320436788827</v>
      </c>
      <c r="G437" s="6" t="n">
        <f aca="false">F437-C437</f>
        <v>-3.67956321117345</v>
      </c>
      <c r="H437" s="4" t="str">
        <f aca="false">IF(G437&gt;2,"LATE",IF(G437&lt;-13,"EARLY","IN"))</f>
        <v>IN</v>
      </c>
      <c r="I437" s="4" t="n">
        <f aca="false">C437-D437</f>
        <v>22</v>
      </c>
    </row>
    <row r="438" customFormat="false" ht="15" hidden="false" customHeight="false" outlineLevel="0" collapsed="false">
      <c r="A438" s="4" t="n">
        <v>9</v>
      </c>
      <c r="B438" s="4" t="n">
        <v>154</v>
      </c>
      <c r="C438" s="4" t="n">
        <v>171</v>
      </c>
      <c r="D438" s="4" t="n">
        <v>151</v>
      </c>
      <c r="E438" s="6" t="n">
        <v>12.023070094857</v>
      </c>
      <c r="F438" s="6" t="n">
        <f aca="false">D438+E438</f>
        <v>163.023070094857</v>
      </c>
      <c r="G438" s="6" t="n">
        <f aca="false">F438-C438</f>
        <v>-7.97692990514301</v>
      </c>
      <c r="H438" s="4" t="str">
        <f aca="false">IF(G438&gt;2,"LATE",IF(G438&lt;-13,"EARLY","IN"))</f>
        <v>IN</v>
      </c>
      <c r="I438" s="4" t="n">
        <f aca="false">C438-D438</f>
        <v>20</v>
      </c>
    </row>
    <row r="439" customFormat="false" ht="15" hidden="false" customHeight="false" outlineLevel="0" collapsed="false">
      <c r="A439" s="4" t="n">
        <v>9</v>
      </c>
      <c r="B439" s="4" t="n">
        <v>158</v>
      </c>
      <c r="C439" s="4" t="n">
        <v>167</v>
      </c>
      <c r="D439" s="4" t="n">
        <v>148</v>
      </c>
      <c r="E439" s="6" t="n">
        <v>14.6363119093871</v>
      </c>
      <c r="F439" s="6" t="n">
        <f aca="false">D439+E439</f>
        <v>162.636311909387</v>
      </c>
      <c r="G439" s="6" t="n">
        <f aca="false">F439-C439</f>
        <v>-4.36368809061287</v>
      </c>
      <c r="H439" s="4" t="str">
        <f aca="false">IF(G439&gt;2,"LATE",IF(G439&lt;-13,"EARLY","IN"))</f>
        <v>IN</v>
      </c>
      <c r="I439" s="4" t="n">
        <f aca="false">C439-D439</f>
        <v>19</v>
      </c>
    </row>
    <row r="440" customFormat="false" ht="15" hidden="false" customHeight="false" outlineLevel="0" collapsed="false">
      <c r="A440" s="4" t="n">
        <v>9</v>
      </c>
      <c r="B440" s="4" t="n">
        <v>167</v>
      </c>
      <c r="C440" s="4" t="n">
        <v>177</v>
      </c>
      <c r="D440" s="4" t="n">
        <v>161</v>
      </c>
      <c r="E440" s="6" t="n">
        <v>18.1163132939312</v>
      </c>
      <c r="F440" s="6" t="n">
        <f aca="false">D440+E440</f>
        <v>179.116313293931</v>
      </c>
      <c r="G440" s="6" t="n">
        <f aca="false">F440-C440</f>
        <v>2.1163132939312</v>
      </c>
      <c r="H440" s="4" t="str">
        <f aca="false">IF(G440&gt;2,"LATE",IF(G440&lt;-13,"EARLY","IN"))</f>
        <v>LATE</v>
      </c>
      <c r="I440" s="4" t="n">
        <f aca="false">C440-D440</f>
        <v>16</v>
      </c>
    </row>
    <row r="441" customFormat="false" ht="15" hidden="false" customHeight="false" outlineLevel="0" collapsed="false">
      <c r="A441" s="4" t="n">
        <v>9</v>
      </c>
      <c r="B441" s="4" t="n">
        <v>171</v>
      </c>
      <c r="C441" s="4" t="n">
        <v>258</v>
      </c>
      <c r="D441" s="4" t="n">
        <v>231</v>
      </c>
      <c r="E441" s="6" t="n">
        <v>14.1896744036054</v>
      </c>
      <c r="F441" s="6" t="n">
        <f aca="false">D441+E441</f>
        <v>245.189674403605</v>
      </c>
      <c r="G441" s="6" t="n">
        <f aca="false">F441-C441</f>
        <v>-12.8103255963946</v>
      </c>
      <c r="H441" s="4" t="str">
        <f aca="false">IF(G441&gt;2,"LATE",IF(G441&lt;-13,"EARLY","IN"))</f>
        <v>IN</v>
      </c>
      <c r="I441" s="4" t="n">
        <f aca="false">C441-D441</f>
        <v>27</v>
      </c>
    </row>
    <row r="442" customFormat="false" ht="15" hidden="false" customHeight="false" outlineLevel="0" collapsed="false">
      <c r="A442" s="4" t="n">
        <v>9</v>
      </c>
      <c r="B442" s="4" t="n">
        <v>176</v>
      </c>
      <c r="C442" s="4" t="n">
        <v>197</v>
      </c>
      <c r="D442" s="4" t="n">
        <v>173</v>
      </c>
      <c r="E442" s="6" t="n">
        <v>14.8097551192271</v>
      </c>
      <c r="F442" s="6" t="n">
        <f aca="false">D442+E442</f>
        <v>187.809755119227</v>
      </c>
      <c r="G442" s="6" t="n">
        <f aca="false">F442-C442</f>
        <v>-9.19024488077292</v>
      </c>
      <c r="H442" s="4" t="str">
        <f aca="false">IF(G442&gt;2,"LATE",IF(G442&lt;-13,"EARLY","IN"))</f>
        <v>IN</v>
      </c>
      <c r="I442" s="4" t="n">
        <f aca="false">C442-D442</f>
        <v>24</v>
      </c>
    </row>
    <row r="443" customFormat="false" ht="15" hidden="false" customHeight="false" outlineLevel="0" collapsed="false">
      <c r="A443" s="4" t="n">
        <v>9</v>
      </c>
      <c r="B443" s="4" t="n">
        <v>178</v>
      </c>
      <c r="C443" s="4" t="n">
        <v>255</v>
      </c>
      <c r="D443" s="4" t="n">
        <v>239</v>
      </c>
      <c r="E443" s="6" t="n">
        <v>12.3079197964989</v>
      </c>
      <c r="F443" s="6" t="n">
        <f aca="false">D443+E443</f>
        <v>251.307919796499</v>
      </c>
      <c r="G443" s="6" t="n">
        <f aca="false">F443-C443</f>
        <v>-3.69208020350106</v>
      </c>
      <c r="H443" s="4" t="str">
        <f aca="false">IF(G443&gt;2,"LATE",IF(G443&lt;-13,"EARLY","IN"))</f>
        <v>IN</v>
      </c>
      <c r="I443" s="4" t="n">
        <f aca="false">C443-D443</f>
        <v>16</v>
      </c>
    </row>
    <row r="444" customFormat="false" ht="15" hidden="false" customHeight="false" outlineLevel="0" collapsed="false">
      <c r="A444" s="4" t="n">
        <v>9</v>
      </c>
      <c r="B444" s="4" t="n">
        <v>180</v>
      </c>
      <c r="C444" s="4" t="n">
        <v>200</v>
      </c>
      <c r="D444" s="4" t="n">
        <v>181</v>
      </c>
      <c r="E444" s="6" t="n">
        <v>14.6579966438689</v>
      </c>
      <c r="F444" s="6" t="n">
        <f aca="false">D444+E444</f>
        <v>195.657996643869</v>
      </c>
      <c r="G444" s="6" t="n">
        <f aca="false">F444-C444</f>
        <v>-4.34200335613113</v>
      </c>
      <c r="H444" s="4" t="str">
        <f aca="false">IF(G444&gt;2,"LATE",IF(G444&lt;-13,"EARLY","IN"))</f>
        <v>IN</v>
      </c>
      <c r="I444" s="4" t="n">
        <f aca="false">C444-D444</f>
        <v>19</v>
      </c>
    </row>
    <row r="445" customFormat="false" ht="15" hidden="false" customHeight="false" outlineLevel="0" collapsed="false">
      <c r="A445" s="4" t="n">
        <v>9</v>
      </c>
      <c r="B445" s="4" t="n">
        <v>181</v>
      </c>
      <c r="C445" s="4" t="n">
        <v>161</v>
      </c>
      <c r="D445" s="4" t="n">
        <v>142</v>
      </c>
      <c r="E445" s="6" t="n">
        <v>14.1993848292123</v>
      </c>
      <c r="F445" s="6" t="n">
        <f aca="false">D445+E445</f>
        <v>156.199384829212</v>
      </c>
      <c r="G445" s="6" t="n">
        <f aca="false">F445-C445</f>
        <v>-4.80061517078769</v>
      </c>
      <c r="H445" s="4" t="str">
        <f aca="false">IF(G445&gt;2,"LATE",IF(G445&lt;-13,"EARLY","IN"))</f>
        <v>IN</v>
      </c>
      <c r="I445" s="4" t="n">
        <f aca="false">C445-D445</f>
        <v>19</v>
      </c>
    </row>
    <row r="446" customFormat="false" ht="15" hidden="false" customHeight="false" outlineLevel="0" collapsed="false">
      <c r="A446" s="4" t="n">
        <v>9</v>
      </c>
      <c r="B446" s="4" t="n">
        <v>187</v>
      </c>
      <c r="C446" s="4" t="n">
        <v>199</v>
      </c>
      <c r="D446" s="4" t="n">
        <v>178</v>
      </c>
      <c r="E446" s="6" t="n">
        <v>15.659524311559</v>
      </c>
      <c r="F446" s="6" t="n">
        <f aca="false">D446+E446</f>
        <v>193.659524311559</v>
      </c>
      <c r="G446" s="6" t="n">
        <f aca="false">F446-C446</f>
        <v>-5.34047568844105</v>
      </c>
      <c r="H446" s="4" t="str">
        <f aca="false">IF(G446&gt;2,"LATE",IF(G446&lt;-13,"EARLY","IN"))</f>
        <v>IN</v>
      </c>
      <c r="I446" s="4" t="n">
        <f aca="false">C446-D446</f>
        <v>21</v>
      </c>
    </row>
    <row r="447" customFormat="false" ht="15" hidden="false" customHeight="false" outlineLevel="0" collapsed="false">
      <c r="A447" s="4" t="n">
        <v>9</v>
      </c>
      <c r="B447" s="4" t="n">
        <v>194</v>
      </c>
      <c r="C447" s="4" t="n">
        <v>246</v>
      </c>
      <c r="D447" s="4" t="n">
        <v>216</v>
      </c>
      <c r="E447" s="6" t="n">
        <v>16.8073241605035</v>
      </c>
      <c r="F447" s="6" t="n">
        <f aca="false">D447+E447</f>
        <v>232.807324160504</v>
      </c>
      <c r="G447" s="6" t="n">
        <f aca="false">F447-C447</f>
        <v>-13.1926758394965</v>
      </c>
      <c r="H447" s="4" t="str">
        <f aca="false">IF(G447&gt;2,"LATE",IF(G447&lt;-13,"EARLY","IN"))</f>
        <v>EARLY</v>
      </c>
      <c r="I447" s="4" t="n">
        <f aca="false">C447-D447</f>
        <v>30</v>
      </c>
    </row>
    <row r="448" customFormat="false" ht="15" hidden="false" customHeight="false" outlineLevel="0" collapsed="false">
      <c r="A448" s="4" t="n">
        <v>9</v>
      </c>
      <c r="B448" s="4" t="n">
        <v>199</v>
      </c>
      <c r="C448" s="4" t="n">
        <v>192</v>
      </c>
      <c r="D448" s="4" t="n">
        <v>175</v>
      </c>
      <c r="E448" s="6" t="n">
        <v>13.0888685052691</v>
      </c>
      <c r="F448" s="6" t="n">
        <f aca="false">D448+E448</f>
        <v>188.088868505269</v>
      </c>
      <c r="G448" s="6" t="n">
        <f aca="false">F448-C448</f>
        <v>-3.91113149473091</v>
      </c>
      <c r="H448" s="4" t="str">
        <f aca="false">IF(G448&gt;2,"LATE",IF(G448&lt;-13,"EARLY","IN"))</f>
        <v>IN</v>
      </c>
      <c r="I448" s="4" t="n">
        <f aca="false">C448-D448</f>
        <v>17</v>
      </c>
    </row>
    <row r="449" customFormat="false" ht="15" hidden="false" customHeight="false" outlineLevel="0" collapsed="false">
      <c r="A449" s="4" t="n">
        <v>9</v>
      </c>
      <c r="B449" s="4" t="n">
        <v>202</v>
      </c>
      <c r="C449" s="4" t="n">
        <v>236</v>
      </c>
      <c r="D449" s="4" t="n">
        <v>211</v>
      </c>
      <c r="E449" s="6" t="n">
        <v>15.9735370539486</v>
      </c>
      <c r="F449" s="6" t="n">
        <f aca="false">D449+E449</f>
        <v>226.973537053949</v>
      </c>
      <c r="G449" s="6" t="n">
        <f aca="false">F449-C449</f>
        <v>-9.02646294605145</v>
      </c>
      <c r="H449" s="4" t="str">
        <f aca="false">IF(G449&gt;2,"LATE",IF(G449&lt;-13,"EARLY","IN"))</f>
        <v>IN</v>
      </c>
      <c r="I449" s="4" t="n">
        <f aca="false">C449-D449</f>
        <v>25</v>
      </c>
    </row>
    <row r="450" customFormat="false" ht="15" hidden="false" customHeight="false" outlineLevel="0" collapsed="false">
      <c r="A450" s="4" t="n">
        <v>9</v>
      </c>
      <c r="B450" s="4" t="n">
        <v>214</v>
      </c>
      <c r="C450" s="4" t="n">
        <v>150</v>
      </c>
      <c r="D450" s="4" t="n">
        <v>135</v>
      </c>
      <c r="E450" s="6" t="n">
        <v>13.4772930149464</v>
      </c>
      <c r="F450" s="6" t="n">
        <f aca="false">D450+E450</f>
        <v>148.477293014946</v>
      </c>
      <c r="G450" s="6" t="n">
        <f aca="false">F450-C450</f>
        <v>-1.52270698505359</v>
      </c>
      <c r="H450" s="4" t="str">
        <f aca="false">IF(G450&gt;2,"LATE",IF(G450&lt;-13,"EARLY","IN"))</f>
        <v>IN</v>
      </c>
      <c r="I450" s="4" t="n">
        <f aca="false">C450-D450</f>
        <v>15</v>
      </c>
    </row>
    <row r="451" customFormat="false" ht="15" hidden="false" customHeight="false" outlineLevel="0" collapsed="false">
      <c r="A451" s="4" t="n">
        <v>9</v>
      </c>
      <c r="B451" s="4" t="n">
        <v>217</v>
      </c>
      <c r="C451" s="4" t="n">
        <v>287</v>
      </c>
      <c r="D451" s="4" t="n">
        <v>262</v>
      </c>
      <c r="E451" s="6" t="n">
        <v>14.6405312229513</v>
      </c>
      <c r="F451" s="6" t="n">
        <f aca="false">D451+E451</f>
        <v>276.640531222951</v>
      </c>
      <c r="G451" s="6" t="n">
        <f aca="false">F451-C451</f>
        <v>-10.3594687770487</v>
      </c>
      <c r="H451" s="4" t="str">
        <f aca="false">IF(G451&gt;2,"LATE",IF(G451&lt;-13,"EARLY","IN"))</f>
        <v>IN</v>
      </c>
      <c r="I451" s="4" t="n">
        <f aca="false">C451-D451</f>
        <v>25</v>
      </c>
    </row>
    <row r="452" customFormat="false" ht="15" hidden="false" customHeight="false" outlineLevel="0" collapsed="false">
      <c r="A452" s="4" t="n">
        <v>10</v>
      </c>
      <c r="B452" s="4" t="n">
        <v>1</v>
      </c>
      <c r="C452" s="4" t="n">
        <v>223</v>
      </c>
      <c r="D452" s="4" t="n">
        <v>200</v>
      </c>
      <c r="E452" s="6" t="n">
        <v>15.8966577744135</v>
      </c>
      <c r="F452" s="6" t="n">
        <f aca="false">D452+E452</f>
        <v>215.896657774414</v>
      </c>
      <c r="G452" s="6" t="n">
        <f aca="false">F452-C452</f>
        <v>-7.10334222558646</v>
      </c>
      <c r="H452" s="4" t="str">
        <f aca="false">IF(G452&gt;2,"LATE",IF(G452&lt;-13,"EARLY","IN"))</f>
        <v>IN</v>
      </c>
      <c r="I452" s="4" t="n">
        <f aca="false">C452-D452</f>
        <v>23</v>
      </c>
    </row>
    <row r="453" customFormat="false" ht="15" hidden="false" customHeight="false" outlineLevel="0" collapsed="false">
      <c r="A453" s="4" t="n">
        <v>10</v>
      </c>
      <c r="B453" s="4" t="n">
        <v>4</v>
      </c>
      <c r="C453" s="4" t="n">
        <v>159</v>
      </c>
      <c r="D453" s="4" t="n">
        <v>139</v>
      </c>
      <c r="E453" s="6" t="n">
        <v>13.2461424954153</v>
      </c>
      <c r="F453" s="6" t="n">
        <f aca="false">D453+E453</f>
        <v>152.246142495415</v>
      </c>
      <c r="G453" s="6" t="n">
        <f aca="false">F453-C453</f>
        <v>-6.75385750458472</v>
      </c>
      <c r="H453" s="4" t="str">
        <f aca="false">IF(G453&gt;2,"LATE",IF(G453&lt;-13,"EARLY","IN"))</f>
        <v>IN</v>
      </c>
      <c r="I453" s="4" t="n">
        <f aca="false">C453-D453</f>
        <v>20</v>
      </c>
    </row>
    <row r="454" customFormat="false" ht="15" hidden="false" customHeight="false" outlineLevel="0" collapsed="false">
      <c r="A454" s="4" t="n">
        <v>10</v>
      </c>
      <c r="B454" s="4" t="n">
        <v>6</v>
      </c>
      <c r="C454" s="4" t="n">
        <v>225</v>
      </c>
      <c r="D454" s="4" t="n">
        <v>207</v>
      </c>
      <c r="E454" s="6" t="n">
        <v>11.2675106952914</v>
      </c>
      <c r="F454" s="6" t="n">
        <f aca="false">D454+E454</f>
        <v>218.267510695291</v>
      </c>
      <c r="G454" s="6" t="n">
        <f aca="false">F454-C454</f>
        <v>-6.73248930470857</v>
      </c>
      <c r="H454" s="4" t="str">
        <f aca="false">IF(G454&gt;2,"LATE",IF(G454&lt;-13,"EARLY","IN"))</f>
        <v>IN</v>
      </c>
      <c r="I454" s="4" t="n">
        <f aca="false">C454-D454</f>
        <v>18</v>
      </c>
    </row>
    <row r="455" customFormat="false" ht="15" hidden="false" customHeight="false" outlineLevel="0" collapsed="false">
      <c r="A455" s="4" t="n">
        <v>10</v>
      </c>
      <c r="B455" s="4" t="n">
        <v>8</v>
      </c>
      <c r="C455" s="4" t="n">
        <v>276</v>
      </c>
      <c r="D455" s="4" t="n">
        <v>260</v>
      </c>
      <c r="E455" s="6" t="n">
        <v>12.7176010891918</v>
      </c>
      <c r="F455" s="6" t="n">
        <f aca="false">D455+E455</f>
        <v>272.717601089192</v>
      </c>
      <c r="G455" s="6" t="n">
        <f aca="false">F455-C455</f>
        <v>-3.28239891080818</v>
      </c>
      <c r="H455" s="4" t="str">
        <f aca="false">IF(G455&gt;2,"LATE",IF(G455&lt;-13,"EARLY","IN"))</f>
        <v>IN</v>
      </c>
      <c r="I455" s="4" t="n">
        <f aca="false">C455-D455</f>
        <v>16</v>
      </c>
    </row>
    <row r="456" customFormat="false" ht="15" hidden="false" customHeight="false" outlineLevel="0" collapsed="false">
      <c r="A456" s="4" t="n">
        <v>10</v>
      </c>
      <c r="B456" s="4" t="n">
        <v>10</v>
      </c>
      <c r="C456" s="4" t="n">
        <v>228</v>
      </c>
      <c r="D456" s="4" t="n">
        <v>209</v>
      </c>
      <c r="E456" s="6" t="n">
        <v>13.7586370524771</v>
      </c>
      <c r="F456" s="6" t="n">
        <f aca="false">D456+E456</f>
        <v>222.758637052477</v>
      </c>
      <c r="G456" s="6" t="n">
        <f aca="false">F456-C456</f>
        <v>-5.2413629475229</v>
      </c>
      <c r="H456" s="4" t="str">
        <f aca="false">IF(G456&gt;2,"LATE",IF(G456&lt;-13,"EARLY","IN"))</f>
        <v>IN</v>
      </c>
      <c r="I456" s="4" t="n">
        <f aca="false">C456-D456</f>
        <v>19</v>
      </c>
    </row>
    <row r="457" customFormat="false" ht="15" hidden="false" customHeight="false" outlineLevel="0" collapsed="false">
      <c r="A457" s="4" t="n">
        <v>10</v>
      </c>
      <c r="B457" s="4" t="n">
        <v>14</v>
      </c>
      <c r="C457" s="4" t="n">
        <v>147</v>
      </c>
      <c r="D457" s="4" t="n">
        <v>130</v>
      </c>
      <c r="E457" s="6" t="n">
        <v>12.4416075898309</v>
      </c>
      <c r="F457" s="6" t="n">
        <f aca="false">D457+E457</f>
        <v>142.441607589831</v>
      </c>
      <c r="G457" s="6" t="n">
        <f aca="false">F457-C457</f>
        <v>-4.55839241016906</v>
      </c>
      <c r="H457" s="4" t="str">
        <f aca="false">IF(G457&gt;2,"LATE",IF(G457&lt;-13,"EARLY","IN"))</f>
        <v>IN</v>
      </c>
      <c r="I457" s="4" t="n">
        <f aca="false">C457-D457</f>
        <v>17</v>
      </c>
    </row>
    <row r="458" customFormat="false" ht="15" hidden="false" customHeight="false" outlineLevel="0" collapsed="false">
      <c r="A458" s="4" t="n">
        <v>10</v>
      </c>
      <c r="B458" s="4" t="n">
        <v>15</v>
      </c>
      <c r="C458" s="4" t="n">
        <v>178</v>
      </c>
      <c r="D458" s="4" t="n">
        <v>162</v>
      </c>
      <c r="E458" s="6" t="n">
        <v>11.141468401458</v>
      </c>
      <c r="F458" s="6" t="n">
        <f aca="false">D458+E458</f>
        <v>173.141468401458</v>
      </c>
      <c r="G458" s="6" t="n">
        <f aca="false">F458-C458</f>
        <v>-4.85853159854199</v>
      </c>
      <c r="H458" s="4" t="str">
        <f aca="false">IF(G458&gt;2,"LATE",IF(G458&lt;-13,"EARLY","IN"))</f>
        <v>IN</v>
      </c>
      <c r="I458" s="4" t="n">
        <f aca="false">C458-D458</f>
        <v>16</v>
      </c>
    </row>
    <row r="459" customFormat="false" ht="15" hidden="false" customHeight="false" outlineLevel="0" collapsed="false">
      <c r="A459" s="4" t="n">
        <v>10</v>
      </c>
      <c r="B459" s="4" t="n">
        <v>16</v>
      </c>
      <c r="C459" s="4" t="n">
        <v>172</v>
      </c>
      <c r="D459" s="4" t="n">
        <v>154</v>
      </c>
      <c r="E459" s="6" t="n">
        <v>12.0368211958779</v>
      </c>
      <c r="F459" s="6" t="n">
        <f aca="false">D459+E459</f>
        <v>166.036821195878</v>
      </c>
      <c r="G459" s="6" t="n">
        <f aca="false">F459-C459</f>
        <v>-5.96317880412207</v>
      </c>
      <c r="H459" s="4" t="str">
        <f aca="false">IF(G459&gt;2,"LATE",IF(G459&lt;-13,"EARLY","IN"))</f>
        <v>IN</v>
      </c>
      <c r="I459" s="4" t="n">
        <f aca="false">C459-D459</f>
        <v>18</v>
      </c>
    </row>
    <row r="460" customFormat="false" ht="15" hidden="false" customHeight="false" outlineLevel="0" collapsed="false">
      <c r="A460" s="4" t="n">
        <v>10</v>
      </c>
      <c r="B460" s="4" t="n">
        <v>17</v>
      </c>
      <c r="C460" s="4" t="n">
        <v>228</v>
      </c>
      <c r="D460" s="4" t="n">
        <v>204</v>
      </c>
      <c r="E460" s="6" t="n">
        <v>18.5700857518088</v>
      </c>
      <c r="F460" s="6" t="n">
        <f aca="false">D460+E460</f>
        <v>222.570085751809</v>
      </c>
      <c r="G460" s="6" t="n">
        <f aca="false">F460-C460</f>
        <v>-5.42991424819121</v>
      </c>
      <c r="H460" s="4" t="str">
        <f aca="false">IF(G460&gt;2,"LATE",IF(G460&lt;-13,"EARLY","IN"))</f>
        <v>IN</v>
      </c>
      <c r="I460" s="4" t="n">
        <f aca="false">C460-D460</f>
        <v>24</v>
      </c>
    </row>
    <row r="461" customFormat="false" ht="15" hidden="false" customHeight="false" outlineLevel="0" collapsed="false">
      <c r="A461" s="4" t="n">
        <v>10</v>
      </c>
      <c r="B461" s="4" t="n">
        <v>21</v>
      </c>
      <c r="C461" s="4" t="n">
        <v>205</v>
      </c>
      <c r="D461" s="4" t="n">
        <v>182</v>
      </c>
      <c r="E461" s="6" t="n">
        <v>9.61283024914527</v>
      </c>
      <c r="F461" s="6" t="n">
        <f aca="false">D461+E461</f>
        <v>191.612830249145</v>
      </c>
      <c r="G461" s="6" t="n">
        <f aca="false">F461-C461</f>
        <v>-13.3871697508547</v>
      </c>
      <c r="H461" s="4" t="str">
        <f aca="false">IF(G461&gt;2,"LATE",IF(G461&lt;-13,"EARLY","IN"))</f>
        <v>EARLY</v>
      </c>
      <c r="I461" s="4" t="n">
        <f aca="false">C461-D461</f>
        <v>23</v>
      </c>
    </row>
    <row r="462" customFormat="false" ht="15" hidden="false" customHeight="false" outlineLevel="0" collapsed="false">
      <c r="A462" s="4" t="n">
        <v>10</v>
      </c>
      <c r="B462" s="4" t="n">
        <v>24</v>
      </c>
      <c r="C462" s="4" t="n">
        <v>191</v>
      </c>
      <c r="D462" s="4" t="n">
        <v>171</v>
      </c>
      <c r="E462" s="6" t="n">
        <v>15.9738386655354</v>
      </c>
      <c r="F462" s="6" t="n">
        <f aca="false">D462+E462</f>
        <v>186.973838665535</v>
      </c>
      <c r="G462" s="6" t="n">
        <f aca="false">F462-C462</f>
        <v>-4.02616133446458</v>
      </c>
      <c r="H462" s="4" t="str">
        <f aca="false">IF(G462&gt;2,"LATE",IF(G462&lt;-13,"EARLY","IN"))</f>
        <v>IN</v>
      </c>
      <c r="I462" s="4" t="n">
        <f aca="false">C462-D462</f>
        <v>20</v>
      </c>
    </row>
    <row r="463" customFormat="false" ht="15" hidden="false" customHeight="false" outlineLevel="0" collapsed="false">
      <c r="A463" s="4" t="n">
        <v>10</v>
      </c>
      <c r="B463" s="4" t="n">
        <v>36</v>
      </c>
      <c r="C463" s="4" t="n">
        <v>147</v>
      </c>
      <c r="D463" s="4" t="n">
        <v>126</v>
      </c>
      <c r="E463" s="6" t="n">
        <v>13.8086243230618</v>
      </c>
      <c r="F463" s="6" t="n">
        <f aca="false">D463+E463</f>
        <v>139.808624323062</v>
      </c>
      <c r="G463" s="6" t="n">
        <f aca="false">F463-C463</f>
        <v>-7.19137567693818</v>
      </c>
      <c r="H463" s="4" t="str">
        <f aca="false">IF(G463&gt;2,"LATE",IF(G463&lt;-13,"EARLY","IN"))</f>
        <v>IN</v>
      </c>
      <c r="I463" s="4" t="n">
        <f aca="false">C463-D463</f>
        <v>21</v>
      </c>
    </row>
    <row r="464" customFormat="false" ht="15" hidden="false" customHeight="false" outlineLevel="0" collapsed="false">
      <c r="A464" s="4" t="n">
        <v>10</v>
      </c>
      <c r="B464" s="4" t="n">
        <v>43</v>
      </c>
      <c r="C464" s="4" t="n">
        <v>209</v>
      </c>
      <c r="D464" s="4" t="n">
        <v>191</v>
      </c>
      <c r="E464" s="6" t="n">
        <v>16.1155332637585</v>
      </c>
      <c r="F464" s="6" t="n">
        <f aca="false">D464+E464</f>
        <v>207.115533263759</v>
      </c>
      <c r="G464" s="6" t="n">
        <f aca="false">F464-C464</f>
        <v>-1.88446673624145</v>
      </c>
      <c r="H464" s="4" t="str">
        <f aca="false">IF(G464&gt;2,"LATE",IF(G464&lt;-13,"EARLY","IN"))</f>
        <v>IN</v>
      </c>
      <c r="I464" s="4" t="n">
        <f aca="false">C464-D464</f>
        <v>18</v>
      </c>
    </row>
    <row r="465" customFormat="false" ht="15" hidden="false" customHeight="false" outlineLevel="0" collapsed="false">
      <c r="A465" s="4" t="n">
        <v>10</v>
      </c>
      <c r="B465" s="4" t="n">
        <v>49</v>
      </c>
      <c r="C465" s="4" t="n">
        <v>285</v>
      </c>
      <c r="D465" s="4" t="n">
        <v>261</v>
      </c>
      <c r="E465" s="6" t="n">
        <v>11.091313494564</v>
      </c>
      <c r="F465" s="6" t="n">
        <f aca="false">D465+E465</f>
        <v>272.091313494564</v>
      </c>
      <c r="G465" s="6" t="n">
        <f aca="false">F465-C465</f>
        <v>-12.908686505436</v>
      </c>
      <c r="H465" s="4" t="str">
        <f aca="false">IF(G465&gt;2,"LATE",IF(G465&lt;-13,"EARLY","IN"))</f>
        <v>IN</v>
      </c>
      <c r="I465" s="4" t="n">
        <f aca="false">C465-D465</f>
        <v>24</v>
      </c>
    </row>
    <row r="466" customFormat="false" ht="15" hidden="false" customHeight="false" outlineLevel="0" collapsed="false">
      <c r="A466" s="4" t="n">
        <v>10</v>
      </c>
      <c r="B466" s="4" t="n">
        <v>50</v>
      </c>
      <c r="C466" s="4" t="n">
        <v>223</v>
      </c>
      <c r="D466" s="4" t="n">
        <v>202</v>
      </c>
      <c r="E466" s="6" t="n">
        <v>13.4392415899064</v>
      </c>
      <c r="F466" s="6" t="n">
        <f aca="false">D466+E466</f>
        <v>215.439241589906</v>
      </c>
      <c r="G466" s="6" t="n">
        <f aca="false">F466-C466</f>
        <v>-7.56075841009366</v>
      </c>
      <c r="H466" s="4" t="str">
        <f aca="false">IF(G466&gt;2,"LATE",IF(G466&lt;-13,"EARLY","IN"))</f>
        <v>IN</v>
      </c>
      <c r="I466" s="4" t="n">
        <f aca="false">C466-D466</f>
        <v>21</v>
      </c>
    </row>
    <row r="467" customFormat="false" ht="15" hidden="false" customHeight="false" outlineLevel="0" collapsed="false">
      <c r="A467" s="4" t="n">
        <v>10</v>
      </c>
      <c r="B467" s="4" t="n">
        <v>53</v>
      </c>
      <c r="C467" s="4" t="n">
        <v>259</v>
      </c>
      <c r="D467" s="4" t="n">
        <v>239</v>
      </c>
      <c r="E467" s="6" t="n">
        <v>18.2727354362829</v>
      </c>
      <c r="F467" s="6" t="n">
        <f aca="false">D467+E467</f>
        <v>257.272735436283</v>
      </c>
      <c r="G467" s="6" t="n">
        <f aca="false">F467-C467</f>
        <v>-1.72726456371714</v>
      </c>
      <c r="H467" s="4" t="str">
        <f aca="false">IF(G467&gt;2,"LATE",IF(G467&lt;-13,"EARLY","IN"))</f>
        <v>IN</v>
      </c>
      <c r="I467" s="4" t="n">
        <f aca="false">C467-D467</f>
        <v>20</v>
      </c>
    </row>
    <row r="468" customFormat="false" ht="15" hidden="false" customHeight="false" outlineLevel="0" collapsed="false">
      <c r="A468" s="4" t="n">
        <v>10</v>
      </c>
      <c r="B468" s="4" t="n">
        <v>70</v>
      </c>
      <c r="C468" s="4" t="n">
        <v>175</v>
      </c>
      <c r="D468" s="4" t="n">
        <v>157</v>
      </c>
      <c r="E468" s="6" t="n">
        <v>15.6728245854699</v>
      </c>
      <c r="F468" s="6" t="n">
        <f aca="false">D468+E468</f>
        <v>172.67282458547</v>
      </c>
      <c r="G468" s="6" t="n">
        <f aca="false">F468-C468</f>
        <v>-2.3271754145301</v>
      </c>
      <c r="H468" s="4" t="str">
        <f aca="false">IF(G468&gt;2,"LATE",IF(G468&lt;-13,"EARLY","IN"))</f>
        <v>IN</v>
      </c>
      <c r="I468" s="4" t="n">
        <f aca="false">C468-D468</f>
        <v>18</v>
      </c>
    </row>
    <row r="469" customFormat="false" ht="15" hidden="false" customHeight="false" outlineLevel="0" collapsed="false">
      <c r="A469" s="4" t="n">
        <v>10</v>
      </c>
      <c r="B469" s="4" t="n">
        <v>71</v>
      </c>
      <c r="C469" s="4" t="n">
        <v>225</v>
      </c>
      <c r="D469" s="4" t="n">
        <v>204</v>
      </c>
      <c r="E469" s="6" t="n">
        <v>13.6537264895743</v>
      </c>
      <c r="F469" s="6" t="n">
        <f aca="false">D469+E469</f>
        <v>217.653726489574</v>
      </c>
      <c r="G469" s="6" t="n">
        <f aca="false">F469-C469</f>
        <v>-7.3462735104257</v>
      </c>
      <c r="H469" s="4" t="str">
        <f aca="false">IF(G469&gt;2,"LATE",IF(G469&lt;-13,"EARLY","IN"))</f>
        <v>IN</v>
      </c>
      <c r="I469" s="4" t="n">
        <f aca="false">C469-D469</f>
        <v>21</v>
      </c>
    </row>
    <row r="470" customFormat="false" ht="15" hidden="false" customHeight="false" outlineLevel="0" collapsed="false">
      <c r="A470" s="4" t="n">
        <v>10</v>
      </c>
      <c r="B470" s="4" t="n">
        <v>75</v>
      </c>
      <c r="C470" s="4" t="n">
        <v>186</v>
      </c>
      <c r="D470" s="4" t="n">
        <v>172</v>
      </c>
      <c r="E470" s="6" t="n">
        <v>14.7616811065501</v>
      </c>
      <c r="F470" s="6" t="n">
        <f aca="false">D470+E470</f>
        <v>186.76168110655</v>
      </c>
      <c r="G470" s="6" t="n">
        <f aca="false">F470-C470</f>
        <v>0.7616811065501</v>
      </c>
      <c r="H470" s="4" t="str">
        <f aca="false">IF(G470&gt;2,"LATE",IF(G470&lt;-13,"EARLY","IN"))</f>
        <v>IN</v>
      </c>
      <c r="I470" s="4" t="n">
        <f aca="false">C470-D470</f>
        <v>14</v>
      </c>
    </row>
    <row r="471" customFormat="false" ht="15" hidden="false" customHeight="false" outlineLevel="0" collapsed="false">
      <c r="A471" s="4" t="n">
        <v>10</v>
      </c>
      <c r="B471" s="4" t="n">
        <v>79</v>
      </c>
      <c r="C471" s="4" t="n">
        <v>225</v>
      </c>
      <c r="D471" s="4" t="n">
        <v>198</v>
      </c>
      <c r="E471" s="6" t="n">
        <v>15.3492470990048</v>
      </c>
      <c r="F471" s="6" t="n">
        <f aca="false">D471+E471</f>
        <v>213.349247099005</v>
      </c>
      <c r="G471" s="6" t="n">
        <f aca="false">F471-C471</f>
        <v>-11.6507529009952</v>
      </c>
      <c r="H471" s="4" t="str">
        <f aca="false">IF(G471&gt;2,"LATE",IF(G471&lt;-13,"EARLY","IN"))</f>
        <v>IN</v>
      </c>
      <c r="I471" s="4" t="n">
        <f aca="false">C471-D471</f>
        <v>27</v>
      </c>
    </row>
    <row r="472" customFormat="false" ht="15" hidden="false" customHeight="false" outlineLevel="0" collapsed="false">
      <c r="A472" s="4" t="n">
        <v>10</v>
      </c>
      <c r="B472" s="4" t="n">
        <v>85</v>
      </c>
      <c r="C472" s="4" t="n">
        <v>246</v>
      </c>
      <c r="D472" s="4" t="n">
        <v>225</v>
      </c>
      <c r="E472" s="6" t="n">
        <v>15.4444672564249</v>
      </c>
      <c r="F472" s="6" t="n">
        <f aca="false">D472+E472</f>
        <v>240.444467256425</v>
      </c>
      <c r="G472" s="6" t="n">
        <f aca="false">F472-C472</f>
        <v>-5.55553274357507</v>
      </c>
      <c r="H472" s="4" t="str">
        <f aca="false">IF(G472&gt;2,"LATE",IF(G472&lt;-13,"EARLY","IN"))</f>
        <v>IN</v>
      </c>
      <c r="I472" s="4" t="n">
        <f aca="false">C472-D472</f>
        <v>21</v>
      </c>
    </row>
    <row r="473" customFormat="false" ht="15" hidden="false" customHeight="false" outlineLevel="0" collapsed="false">
      <c r="A473" s="4" t="n">
        <v>10</v>
      </c>
      <c r="B473" s="4" t="n">
        <v>88</v>
      </c>
      <c r="C473" s="4" t="n">
        <v>134</v>
      </c>
      <c r="D473" s="4" t="n">
        <v>119</v>
      </c>
      <c r="E473" s="6" t="n">
        <v>14.5371434125264</v>
      </c>
      <c r="F473" s="6" t="n">
        <f aca="false">D473+E473</f>
        <v>133.537143412526</v>
      </c>
      <c r="G473" s="6" t="n">
        <f aca="false">F473-C473</f>
        <v>-0.462856587473567</v>
      </c>
      <c r="H473" s="4" t="str">
        <f aca="false">IF(G473&gt;2,"LATE",IF(G473&lt;-13,"EARLY","IN"))</f>
        <v>IN</v>
      </c>
      <c r="I473" s="4" t="n">
        <f aca="false">C473-D473</f>
        <v>15</v>
      </c>
    </row>
    <row r="474" customFormat="false" ht="15" hidden="false" customHeight="false" outlineLevel="0" collapsed="false">
      <c r="A474" s="4" t="n">
        <v>10</v>
      </c>
      <c r="B474" s="4" t="n">
        <v>93</v>
      </c>
      <c r="C474" s="4" t="n">
        <v>222</v>
      </c>
      <c r="D474" s="4" t="n">
        <v>205</v>
      </c>
      <c r="E474" s="6" t="n">
        <v>12.4883305150992</v>
      </c>
      <c r="F474" s="6" t="n">
        <f aca="false">D474+E474</f>
        <v>217.488330515099</v>
      </c>
      <c r="G474" s="6" t="n">
        <f aca="false">F474-C474</f>
        <v>-4.51166948490084</v>
      </c>
      <c r="H474" s="4" t="str">
        <f aca="false">IF(G474&gt;2,"LATE",IF(G474&lt;-13,"EARLY","IN"))</f>
        <v>IN</v>
      </c>
      <c r="I474" s="4" t="n">
        <f aca="false">C474-D474</f>
        <v>17</v>
      </c>
    </row>
    <row r="475" customFormat="false" ht="15" hidden="false" customHeight="false" outlineLevel="0" collapsed="false">
      <c r="A475" s="4" t="n">
        <v>10</v>
      </c>
      <c r="B475" s="4" t="n">
        <v>98</v>
      </c>
      <c r="C475" s="4" t="n">
        <v>206</v>
      </c>
      <c r="D475" s="4" t="n">
        <v>193</v>
      </c>
      <c r="E475" s="6" t="n">
        <v>15.194164665571</v>
      </c>
      <c r="F475" s="6" t="n">
        <f aca="false">D475+E475</f>
        <v>208.194164665571</v>
      </c>
      <c r="G475" s="6" t="n">
        <f aca="false">F475-C475</f>
        <v>2.19416466557104</v>
      </c>
      <c r="H475" s="4" t="str">
        <f aca="false">IF(G475&gt;2,"LATE",IF(G475&lt;-13,"EARLY","IN"))</f>
        <v>LATE</v>
      </c>
      <c r="I475" s="4" t="n">
        <f aca="false">C475-D475</f>
        <v>13</v>
      </c>
    </row>
    <row r="476" customFormat="false" ht="15" hidden="false" customHeight="false" outlineLevel="0" collapsed="false">
      <c r="A476" s="4" t="n">
        <v>10</v>
      </c>
      <c r="B476" s="4" t="n">
        <v>101</v>
      </c>
      <c r="C476" s="4" t="n">
        <v>226</v>
      </c>
      <c r="D476" s="4" t="n">
        <v>204</v>
      </c>
      <c r="E476" s="6" t="n">
        <v>15.7433591999527</v>
      </c>
      <c r="F476" s="6" t="n">
        <f aca="false">D476+E476</f>
        <v>219.743359199953</v>
      </c>
      <c r="G476" s="6" t="n">
        <f aca="false">F476-C476</f>
        <v>-6.25664080004725</v>
      </c>
      <c r="H476" s="4" t="str">
        <f aca="false">IF(G476&gt;2,"LATE",IF(G476&lt;-13,"EARLY","IN"))</f>
        <v>IN</v>
      </c>
      <c r="I476" s="4" t="n">
        <f aca="false">C476-D476</f>
        <v>22</v>
      </c>
    </row>
    <row r="477" customFormat="false" ht="15" hidden="false" customHeight="false" outlineLevel="0" collapsed="false">
      <c r="A477" s="4" t="n">
        <v>10</v>
      </c>
      <c r="B477" s="4" t="n">
        <v>104</v>
      </c>
      <c r="C477" s="4" t="n">
        <v>178</v>
      </c>
      <c r="D477" s="4" t="n">
        <v>158</v>
      </c>
      <c r="E477" s="6" t="n">
        <v>15.4043820080062</v>
      </c>
      <c r="F477" s="6" t="n">
        <f aca="false">D477+E477</f>
        <v>173.404382008006</v>
      </c>
      <c r="G477" s="6" t="n">
        <f aca="false">F477-C477</f>
        <v>-4.59561799199381</v>
      </c>
      <c r="H477" s="4" t="str">
        <f aca="false">IF(G477&gt;2,"LATE",IF(G477&lt;-13,"EARLY","IN"))</f>
        <v>IN</v>
      </c>
      <c r="I477" s="4" t="n">
        <f aca="false">C477-D477</f>
        <v>20</v>
      </c>
    </row>
    <row r="478" customFormat="false" ht="15" hidden="false" customHeight="false" outlineLevel="0" collapsed="false">
      <c r="A478" s="4" t="n">
        <v>10</v>
      </c>
      <c r="B478" s="4" t="n">
        <v>107</v>
      </c>
      <c r="C478" s="4" t="n">
        <v>200</v>
      </c>
      <c r="D478" s="4" t="n">
        <v>188</v>
      </c>
      <c r="E478" s="6" t="n">
        <v>11.4434169337628</v>
      </c>
      <c r="F478" s="6" t="n">
        <f aca="false">D478+E478</f>
        <v>199.443416933763</v>
      </c>
      <c r="G478" s="6" t="n">
        <f aca="false">F478-C478</f>
        <v>-0.556583066237238</v>
      </c>
      <c r="H478" s="4" t="str">
        <f aca="false">IF(G478&gt;2,"LATE",IF(G478&lt;-13,"EARLY","IN"))</f>
        <v>IN</v>
      </c>
      <c r="I478" s="4" t="n">
        <f aca="false">C478-D478</f>
        <v>12</v>
      </c>
    </row>
    <row r="479" customFormat="false" ht="15" hidden="false" customHeight="false" outlineLevel="0" collapsed="false">
      <c r="A479" s="4" t="n">
        <v>10</v>
      </c>
      <c r="B479" s="4" t="n">
        <v>113</v>
      </c>
      <c r="C479" s="4" t="n">
        <v>160</v>
      </c>
      <c r="D479" s="4" t="n">
        <v>139</v>
      </c>
      <c r="E479" s="6" t="n">
        <v>16.9806619904775</v>
      </c>
      <c r="F479" s="6" t="n">
        <f aca="false">D479+E479</f>
        <v>155.980661990478</v>
      </c>
      <c r="G479" s="6" t="n">
        <f aca="false">F479-C479</f>
        <v>-4.0193380095225</v>
      </c>
      <c r="H479" s="4" t="str">
        <f aca="false">IF(G479&gt;2,"LATE",IF(G479&lt;-13,"EARLY","IN"))</f>
        <v>IN</v>
      </c>
      <c r="I479" s="4" t="n">
        <f aca="false">C479-D479</f>
        <v>21</v>
      </c>
    </row>
    <row r="480" customFormat="false" ht="15" hidden="false" customHeight="false" outlineLevel="0" collapsed="false">
      <c r="A480" s="4" t="n">
        <v>10</v>
      </c>
      <c r="B480" s="4" t="n">
        <v>115</v>
      </c>
      <c r="C480" s="4" t="n">
        <v>260</v>
      </c>
      <c r="D480" s="4" t="n">
        <v>243</v>
      </c>
      <c r="E480" s="6" t="n">
        <v>9.12552792048795</v>
      </c>
      <c r="F480" s="6" t="n">
        <f aca="false">D480+E480</f>
        <v>252.125527920488</v>
      </c>
      <c r="G480" s="6" t="n">
        <f aca="false">F480-C480</f>
        <v>-7.87447207951206</v>
      </c>
      <c r="H480" s="4" t="str">
        <f aca="false">IF(G480&gt;2,"LATE",IF(G480&lt;-13,"EARLY","IN"))</f>
        <v>IN</v>
      </c>
      <c r="I480" s="4" t="n">
        <f aca="false">C480-D480</f>
        <v>17</v>
      </c>
    </row>
    <row r="481" customFormat="false" ht="15" hidden="false" customHeight="false" outlineLevel="0" collapsed="false">
      <c r="A481" s="4" t="n">
        <v>10</v>
      </c>
      <c r="B481" s="4" t="n">
        <v>116</v>
      </c>
      <c r="C481" s="4" t="n">
        <v>232</v>
      </c>
      <c r="D481" s="4" t="n">
        <v>208</v>
      </c>
      <c r="E481" s="6" t="n">
        <v>10.5995006102987</v>
      </c>
      <c r="F481" s="6" t="n">
        <f aca="false">D481+E481</f>
        <v>218.599500610299</v>
      </c>
      <c r="G481" s="6" t="n">
        <f aca="false">F481-C481</f>
        <v>-13.4004993897013</v>
      </c>
      <c r="H481" s="4" t="str">
        <f aca="false">IF(G481&gt;2,"LATE",IF(G481&lt;-13,"EARLY","IN"))</f>
        <v>EARLY</v>
      </c>
      <c r="I481" s="4" t="n">
        <f aca="false">C481-D481</f>
        <v>24</v>
      </c>
    </row>
    <row r="482" customFormat="false" ht="15" hidden="false" customHeight="false" outlineLevel="0" collapsed="false">
      <c r="A482" s="4" t="n">
        <v>10</v>
      </c>
      <c r="B482" s="4" t="n">
        <v>118</v>
      </c>
      <c r="C482" s="4" t="n">
        <v>188</v>
      </c>
      <c r="D482" s="4" t="n">
        <v>167</v>
      </c>
      <c r="E482" s="6" t="n">
        <v>17.1794410658299</v>
      </c>
      <c r="F482" s="6" t="n">
        <f aca="false">D482+E482</f>
        <v>184.17944106583</v>
      </c>
      <c r="G482" s="6" t="n">
        <f aca="false">F482-C482</f>
        <v>-3.82055893417012</v>
      </c>
      <c r="H482" s="4" t="str">
        <f aca="false">IF(G482&gt;2,"LATE",IF(G482&lt;-13,"EARLY","IN"))</f>
        <v>IN</v>
      </c>
      <c r="I482" s="4" t="n">
        <f aca="false">C482-D482</f>
        <v>21</v>
      </c>
    </row>
    <row r="483" customFormat="false" ht="15" hidden="false" customHeight="false" outlineLevel="0" collapsed="false">
      <c r="A483" s="4" t="n">
        <v>10</v>
      </c>
      <c r="B483" s="4" t="n">
        <v>122</v>
      </c>
      <c r="C483" s="4" t="n">
        <v>237</v>
      </c>
      <c r="D483" s="4" t="n">
        <v>214</v>
      </c>
      <c r="E483" s="6" t="n">
        <v>13.576584618546</v>
      </c>
      <c r="F483" s="6" t="n">
        <f aca="false">D483+E483</f>
        <v>227.576584618546</v>
      </c>
      <c r="G483" s="6" t="n">
        <f aca="false">F483-C483</f>
        <v>-9.42341538145399</v>
      </c>
      <c r="H483" s="4" t="str">
        <f aca="false">IF(G483&gt;2,"LATE",IF(G483&lt;-13,"EARLY","IN"))</f>
        <v>IN</v>
      </c>
      <c r="I483" s="4" t="n">
        <f aca="false">C483-D483</f>
        <v>23</v>
      </c>
    </row>
    <row r="484" customFormat="false" ht="15" hidden="false" customHeight="false" outlineLevel="0" collapsed="false">
      <c r="A484" s="4" t="n">
        <v>10</v>
      </c>
      <c r="B484" s="4" t="n">
        <v>135</v>
      </c>
      <c r="C484" s="4" t="n">
        <v>188</v>
      </c>
      <c r="D484" s="4" t="n">
        <v>170</v>
      </c>
      <c r="E484" s="6" t="n">
        <v>15.513613053424</v>
      </c>
      <c r="F484" s="6" t="n">
        <f aca="false">D484+E484</f>
        <v>185.513613053424</v>
      </c>
      <c r="G484" s="6" t="n">
        <f aca="false">F484-C484</f>
        <v>-2.48638694657598</v>
      </c>
      <c r="H484" s="4" t="str">
        <f aca="false">IF(G484&gt;2,"LATE",IF(G484&lt;-13,"EARLY","IN"))</f>
        <v>IN</v>
      </c>
      <c r="I484" s="4" t="n">
        <f aca="false">C484-D484</f>
        <v>18</v>
      </c>
    </row>
    <row r="485" customFormat="false" ht="15" hidden="false" customHeight="false" outlineLevel="0" collapsed="false">
      <c r="A485" s="4" t="n">
        <v>10</v>
      </c>
      <c r="B485" s="4" t="n">
        <v>138</v>
      </c>
      <c r="C485" s="4" t="n">
        <v>181</v>
      </c>
      <c r="D485" s="4" t="n">
        <v>168</v>
      </c>
      <c r="E485" s="6" t="n">
        <v>13.7057599988829</v>
      </c>
      <c r="F485" s="6" t="n">
        <f aca="false">D485+E485</f>
        <v>181.705759998883</v>
      </c>
      <c r="G485" s="6" t="n">
        <f aca="false">F485-C485</f>
        <v>0.705759998882854</v>
      </c>
      <c r="H485" s="4" t="str">
        <f aca="false">IF(G485&gt;2,"LATE",IF(G485&lt;-13,"EARLY","IN"))</f>
        <v>IN</v>
      </c>
      <c r="I485" s="4" t="n">
        <f aca="false">C485-D485</f>
        <v>13</v>
      </c>
    </row>
    <row r="486" customFormat="false" ht="15" hidden="false" customHeight="false" outlineLevel="0" collapsed="false">
      <c r="A486" s="4" t="n">
        <v>10</v>
      </c>
      <c r="B486" s="4" t="n">
        <v>144</v>
      </c>
      <c r="C486" s="4" t="n">
        <v>272</v>
      </c>
      <c r="D486" s="4" t="n">
        <v>258</v>
      </c>
      <c r="E486" s="6" t="n">
        <v>9.46257536691423</v>
      </c>
      <c r="F486" s="6" t="n">
        <f aca="false">D486+E486</f>
        <v>267.462575366914</v>
      </c>
      <c r="G486" s="6" t="n">
        <f aca="false">F486-C486</f>
        <v>-4.53742463308578</v>
      </c>
      <c r="H486" s="4" t="str">
        <f aca="false">IF(G486&gt;2,"LATE",IF(G486&lt;-13,"EARLY","IN"))</f>
        <v>IN</v>
      </c>
      <c r="I486" s="4" t="n">
        <f aca="false">C486-D486</f>
        <v>14</v>
      </c>
    </row>
    <row r="487" customFormat="false" ht="15" hidden="false" customHeight="false" outlineLevel="0" collapsed="false">
      <c r="A487" s="4" t="n">
        <v>10</v>
      </c>
      <c r="B487" s="4" t="n">
        <v>149</v>
      </c>
      <c r="C487" s="4" t="n">
        <v>192</v>
      </c>
      <c r="D487" s="4" t="n">
        <v>176</v>
      </c>
      <c r="E487" s="6" t="n">
        <v>16.340731442894</v>
      </c>
      <c r="F487" s="6" t="n">
        <f aca="false">D487+E487</f>
        <v>192.340731442894</v>
      </c>
      <c r="G487" s="6" t="n">
        <f aca="false">F487-C487</f>
        <v>0.340731442893997</v>
      </c>
      <c r="H487" s="4" t="str">
        <f aca="false">IF(G487&gt;2,"LATE",IF(G487&lt;-13,"EARLY","IN"))</f>
        <v>IN</v>
      </c>
      <c r="I487" s="4" t="n">
        <f aca="false">C487-D487</f>
        <v>16</v>
      </c>
    </row>
    <row r="488" customFormat="false" ht="15" hidden="false" customHeight="false" outlineLevel="0" collapsed="false">
      <c r="A488" s="4" t="n">
        <v>10</v>
      </c>
      <c r="B488" s="4" t="n">
        <v>152</v>
      </c>
      <c r="C488" s="4" t="n">
        <v>213</v>
      </c>
      <c r="D488" s="4" t="n">
        <v>188</v>
      </c>
      <c r="E488" s="6" t="n">
        <v>17.919863486888</v>
      </c>
      <c r="F488" s="6" t="n">
        <f aca="false">D488+E488</f>
        <v>205.919863486888</v>
      </c>
      <c r="G488" s="6" t="n">
        <f aca="false">F488-C488</f>
        <v>-7.080136513112</v>
      </c>
      <c r="H488" s="4" t="str">
        <f aca="false">IF(G488&gt;2,"LATE",IF(G488&lt;-13,"EARLY","IN"))</f>
        <v>IN</v>
      </c>
      <c r="I488" s="4" t="n">
        <f aca="false">C488-D488</f>
        <v>25</v>
      </c>
    </row>
    <row r="489" customFormat="false" ht="15" hidden="false" customHeight="false" outlineLevel="0" collapsed="false">
      <c r="A489" s="4" t="n">
        <v>10</v>
      </c>
      <c r="B489" s="4" t="n">
        <v>160</v>
      </c>
      <c r="C489" s="4" t="n">
        <v>147</v>
      </c>
      <c r="D489" s="4" t="n">
        <v>128</v>
      </c>
      <c r="E489" s="6" t="n">
        <v>16.1121546230047</v>
      </c>
      <c r="F489" s="6" t="n">
        <f aca="false">D489+E489</f>
        <v>144.112154623005</v>
      </c>
      <c r="G489" s="6" t="n">
        <f aca="false">F489-C489</f>
        <v>-2.88784537699533</v>
      </c>
      <c r="H489" s="4" t="str">
        <f aca="false">IF(G489&gt;2,"LATE",IF(G489&lt;-13,"EARLY","IN"))</f>
        <v>IN</v>
      </c>
      <c r="I489" s="4" t="n">
        <f aca="false">C489-D489</f>
        <v>19</v>
      </c>
    </row>
    <row r="490" customFormat="false" ht="15" hidden="false" customHeight="false" outlineLevel="0" collapsed="false">
      <c r="A490" s="4" t="n">
        <v>10</v>
      </c>
      <c r="B490" s="4" t="n">
        <v>168</v>
      </c>
      <c r="C490" s="4" t="n">
        <v>253</v>
      </c>
      <c r="D490" s="4" t="n">
        <v>230</v>
      </c>
      <c r="E490" s="6" t="n">
        <v>15.7673355670646</v>
      </c>
      <c r="F490" s="6" t="n">
        <f aca="false">D490+E490</f>
        <v>245.767335567065</v>
      </c>
      <c r="G490" s="6" t="n">
        <f aca="false">F490-C490</f>
        <v>-7.23266443293537</v>
      </c>
      <c r="H490" s="4" t="str">
        <f aca="false">IF(G490&gt;2,"LATE",IF(G490&lt;-13,"EARLY","IN"))</f>
        <v>IN</v>
      </c>
      <c r="I490" s="4" t="n">
        <f aca="false">C490-D490</f>
        <v>23</v>
      </c>
    </row>
    <row r="491" customFormat="false" ht="15" hidden="false" customHeight="false" outlineLevel="0" collapsed="false">
      <c r="A491" s="4" t="n">
        <v>10</v>
      </c>
      <c r="B491" s="4" t="n">
        <v>170</v>
      </c>
      <c r="C491" s="4" t="n">
        <v>302</v>
      </c>
      <c r="D491" s="4" t="n">
        <v>284</v>
      </c>
      <c r="E491" s="6" t="n">
        <v>11.970800203922</v>
      </c>
      <c r="F491" s="6" t="n">
        <f aca="false">D491+E491</f>
        <v>295.970800203922</v>
      </c>
      <c r="G491" s="6" t="n">
        <f aca="false">F491-C491</f>
        <v>-6.02919979607805</v>
      </c>
      <c r="H491" s="4" t="str">
        <f aca="false">IF(G491&gt;2,"LATE",IF(G491&lt;-13,"EARLY","IN"))</f>
        <v>IN</v>
      </c>
      <c r="I491" s="4" t="n">
        <f aca="false">C491-D491</f>
        <v>18</v>
      </c>
    </row>
    <row r="492" customFormat="false" ht="15" hidden="false" customHeight="false" outlineLevel="0" collapsed="false">
      <c r="A492" s="4" t="n">
        <v>10</v>
      </c>
      <c r="B492" s="4" t="n">
        <v>173</v>
      </c>
      <c r="C492" s="4" t="n">
        <v>190</v>
      </c>
      <c r="D492" s="4" t="n">
        <v>174</v>
      </c>
      <c r="E492" s="6" t="n">
        <v>13.3348540558013</v>
      </c>
      <c r="F492" s="6" t="n">
        <f aca="false">D492+E492</f>
        <v>187.334854055801</v>
      </c>
      <c r="G492" s="6" t="n">
        <f aca="false">F492-C492</f>
        <v>-2.66514594419868</v>
      </c>
      <c r="H492" s="4" t="str">
        <f aca="false">IF(G492&gt;2,"LATE",IF(G492&lt;-13,"EARLY","IN"))</f>
        <v>IN</v>
      </c>
      <c r="I492" s="4" t="n">
        <f aca="false">C492-D492</f>
        <v>16</v>
      </c>
    </row>
    <row r="493" customFormat="false" ht="15" hidden="false" customHeight="false" outlineLevel="0" collapsed="false">
      <c r="A493" s="4" t="n">
        <v>10</v>
      </c>
      <c r="B493" s="4" t="n">
        <v>181</v>
      </c>
      <c r="C493" s="4" t="n">
        <v>161</v>
      </c>
      <c r="D493" s="4" t="n">
        <v>141</v>
      </c>
      <c r="E493" s="6" t="n">
        <v>13.3453264951805</v>
      </c>
      <c r="F493" s="6" t="n">
        <f aca="false">D493+E493</f>
        <v>154.345326495181</v>
      </c>
      <c r="G493" s="6" t="n">
        <f aca="false">F493-C493</f>
        <v>-6.6546735048195</v>
      </c>
      <c r="H493" s="4" t="str">
        <f aca="false">IF(G493&gt;2,"LATE",IF(G493&lt;-13,"EARLY","IN"))</f>
        <v>IN</v>
      </c>
      <c r="I493" s="4" t="n">
        <f aca="false">C493-D493</f>
        <v>20</v>
      </c>
    </row>
    <row r="494" customFormat="false" ht="15" hidden="false" customHeight="false" outlineLevel="0" collapsed="false">
      <c r="A494" s="4" t="n">
        <v>10</v>
      </c>
      <c r="B494" s="4" t="n">
        <v>189</v>
      </c>
      <c r="C494" s="4" t="n">
        <v>242</v>
      </c>
      <c r="D494" s="4" t="n">
        <v>228</v>
      </c>
      <c r="E494" s="6" t="n">
        <v>10.6615573264335</v>
      </c>
      <c r="F494" s="6" t="n">
        <f aca="false">D494+E494</f>
        <v>238.661557326433</v>
      </c>
      <c r="G494" s="6" t="n">
        <f aca="false">F494-C494</f>
        <v>-3.33844267356653</v>
      </c>
      <c r="H494" s="4" t="str">
        <f aca="false">IF(G494&gt;2,"LATE",IF(G494&lt;-13,"EARLY","IN"))</f>
        <v>IN</v>
      </c>
      <c r="I494" s="4" t="n">
        <f aca="false">C494-D494</f>
        <v>14</v>
      </c>
    </row>
    <row r="495" customFormat="false" ht="15" hidden="false" customHeight="false" outlineLevel="0" collapsed="false">
      <c r="A495" s="4" t="n">
        <v>10</v>
      </c>
      <c r="B495" s="4" t="n">
        <v>191</v>
      </c>
      <c r="C495" s="4" t="n">
        <v>255</v>
      </c>
      <c r="D495" s="4" t="n">
        <v>232</v>
      </c>
      <c r="E495" s="6" t="n">
        <v>13.78628137248</v>
      </c>
      <c r="F495" s="6" t="n">
        <f aca="false">D495+E495</f>
        <v>245.78628137248</v>
      </c>
      <c r="G495" s="6" t="n">
        <f aca="false">F495-C495</f>
        <v>-9.21371862752002</v>
      </c>
      <c r="H495" s="4" t="str">
        <f aca="false">IF(G495&gt;2,"LATE",IF(G495&lt;-13,"EARLY","IN"))</f>
        <v>IN</v>
      </c>
      <c r="I495" s="4" t="n">
        <f aca="false">C495-D495</f>
        <v>23</v>
      </c>
    </row>
    <row r="496" customFormat="false" ht="15" hidden="false" customHeight="false" outlineLevel="0" collapsed="false">
      <c r="A496" s="4" t="n">
        <v>10</v>
      </c>
      <c r="B496" s="4" t="n">
        <v>195</v>
      </c>
      <c r="C496" s="4" t="n">
        <v>284</v>
      </c>
      <c r="D496" s="4" t="n">
        <v>261</v>
      </c>
      <c r="E496" s="6" t="n">
        <v>18.5500872283035</v>
      </c>
      <c r="F496" s="6" t="n">
        <f aca="false">D496+E496</f>
        <v>279.550087228304</v>
      </c>
      <c r="G496" s="6" t="n">
        <f aca="false">F496-C496</f>
        <v>-4.44991277169652</v>
      </c>
      <c r="H496" s="4" t="str">
        <f aca="false">IF(G496&gt;2,"LATE",IF(G496&lt;-13,"EARLY","IN"))</f>
        <v>IN</v>
      </c>
      <c r="I496" s="4" t="n">
        <f aca="false">C496-D496</f>
        <v>23</v>
      </c>
    </row>
    <row r="497" customFormat="false" ht="15" hidden="false" customHeight="false" outlineLevel="0" collapsed="false">
      <c r="A497" s="4" t="n">
        <v>10</v>
      </c>
      <c r="B497" s="4" t="n">
        <v>204</v>
      </c>
      <c r="C497" s="4" t="n">
        <v>174</v>
      </c>
      <c r="D497" s="4" t="n">
        <v>153</v>
      </c>
      <c r="E497" s="6" t="n">
        <v>19.5885735824387</v>
      </c>
      <c r="F497" s="6" t="n">
        <f aca="false">D497+E497</f>
        <v>172.588573582439</v>
      </c>
      <c r="G497" s="6" t="n">
        <f aca="false">F497-C497</f>
        <v>-1.41142641756124</v>
      </c>
      <c r="H497" s="4" t="str">
        <f aca="false">IF(G497&gt;2,"LATE",IF(G497&lt;-13,"EARLY","IN"))</f>
        <v>IN</v>
      </c>
      <c r="I497" s="4" t="n">
        <f aca="false">C497-D497</f>
        <v>21</v>
      </c>
    </row>
    <row r="498" customFormat="false" ht="15" hidden="false" customHeight="false" outlineLevel="0" collapsed="false">
      <c r="A498" s="4" t="n">
        <v>10</v>
      </c>
      <c r="B498" s="4" t="n">
        <v>205</v>
      </c>
      <c r="C498" s="4" t="n">
        <v>135</v>
      </c>
      <c r="D498" s="4" t="n">
        <v>120</v>
      </c>
      <c r="E498" s="6" t="n">
        <v>9.39521835272299</v>
      </c>
      <c r="F498" s="6" t="n">
        <f aca="false">D498+E498</f>
        <v>129.395218352723</v>
      </c>
      <c r="G498" s="6" t="n">
        <f aca="false">F498-C498</f>
        <v>-5.60478164727701</v>
      </c>
      <c r="H498" s="4" t="str">
        <f aca="false">IF(G498&gt;2,"LATE",IF(G498&lt;-13,"EARLY","IN"))</f>
        <v>IN</v>
      </c>
      <c r="I498" s="4" t="n">
        <f aca="false">C498-D498</f>
        <v>15</v>
      </c>
    </row>
    <row r="499" customFormat="false" ht="15" hidden="false" customHeight="false" outlineLevel="0" collapsed="false">
      <c r="A499" s="4" t="n">
        <v>10</v>
      </c>
      <c r="B499" s="4" t="n">
        <v>212</v>
      </c>
      <c r="C499" s="4" t="n">
        <v>277</v>
      </c>
      <c r="D499" s="4" t="n">
        <v>252</v>
      </c>
      <c r="E499" s="6" t="n">
        <v>13.2393065442985</v>
      </c>
      <c r="F499" s="6" t="n">
        <f aca="false">D499+E499</f>
        <v>265.239306544299</v>
      </c>
      <c r="G499" s="6" t="n">
        <f aca="false">F499-C499</f>
        <v>-11.7606934557015</v>
      </c>
      <c r="H499" s="4" t="str">
        <f aca="false">IF(G499&gt;2,"LATE",IF(G499&lt;-13,"EARLY","IN"))</f>
        <v>IN</v>
      </c>
      <c r="I499" s="4" t="n">
        <f aca="false">C499-D499</f>
        <v>25</v>
      </c>
    </row>
    <row r="500" customFormat="false" ht="15" hidden="false" customHeight="false" outlineLevel="0" collapsed="false">
      <c r="A500" s="4" t="n">
        <v>10</v>
      </c>
      <c r="B500" s="4" t="n">
        <v>214</v>
      </c>
      <c r="C500" s="4" t="n">
        <v>150</v>
      </c>
      <c r="D500" s="4" t="n">
        <v>135</v>
      </c>
      <c r="E500" s="6" t="n">
        <v>10.5747371435533</v>
      </c>
      <c r="F500" s="6" t="n">
        <f aca="false">D500+E500</f>
        <v>145.574737143553</v>
      </c>
      <c r="G500" s="6" t="n">
        <f aca="false">F500-C500</f>
        <v>-4.42526285644669</v>
      </c>
      <c r="H500" s="4" t="str">
        <f aca="false">IF(G500&gt;2,"LATE",IF(G500&lt;-13,"EARLY","IN"))</f>
        <v>IN</v>
      </c>
      <c r="I500" s="4" t="n">
        <f aca="false">C500-D500</f>
        <v>15</v>
      </c>
    </row>
    <row r="501" customFormat="false" ht="15" hidden="false" customHeight="false" outlineLevel="0" collapsed="false">
      <c r="A501" s="4" t="n">
        <v>10</v>
      </c>
      <c r="B501" s="4" t="n">
        <v>215</v>
      </c>
      <c r="C501" s="4" t="n">
        <v>156</v>
      </c>
      <c r="D501" s="4" t="n">
        <v>142</v>
      </c>
      <c r="E501" s="6" t="n">
        <v>11.8857511584236</v>
      </c>
      <c r="F501" s="6" t="n">
        <f aca="false">D501+E501</f>
        <v>153.885751158424</v>
      </c>
      <c r="G501" s="6" t="n">
        <f aca="false">F501-C501</f>
        <v>-2.1142488415764</v>
      </c>
      <c r="H501" s="4" t="str">
        <f aca="false">IF(G501&gt;2,"LATE",IF(G501&lt;-13,"EARLY","IN"))</f>
        <v>IN</v>
      </c>
      <c r="I501" s="4" t="n">
        <f aca="false">C501-D501</f>
        <v>14</v>
      </c>
    </row>
    <row r="502" customFormat="false" ht="15" hidden="false" customHeight="false" outlineLevel="0" collapsed="false">
      <c r="A502" s="4" t="n">
        <v>11</v>
      </c>
      <c r="B502" s="4" t="n">
        <v>1</v>
      </c>
      <c r="C502" s="4" t="n">
        <v>223</v>
      </c>
      <c r="D502" s="4" t="n">
        <v>202</v>
      </c>
      <c r="E502" s="6" t="n">
        <v>13.849446517234</v>
      </c>
      <c r="F502" s="6" t="n">
        <f aca="false">D502+E502</f>
        <v>215.849446517234</v>
      </c>
      <c r="G502" s="6" t="n">
        <f aca="false">F502-C502</f>
        <v>-7.15055348276596</v>
      </c>
      <c r="H502" s="4" t="str">
        <f aca="false">IF(G502&gt;2,"LATE",IF(G502&lt;-13,"EARLY","IN"))</f>
        <v>IN</v>
      </c>
      <c r="I502" s="4" t="n">
        <f aca="false">C502-D502</f>
        <v>21</v>
      </c>
    </row>
    <row r="503" customFormat="false" ht="15" hidden="false" customHeight="false" outlineLevel="0" collapsed="false">
      <c r="A503" s="4" t="n">
        <v>11</v>
      </c>
      <c r="B503" s="4" t="n">
        <v>3</v>
      </c>
      <c r="C503" s="4" t="n">
        <v>150</v>
      </c>
      <c r="D503" s="4" t="n">
        <v>138</v>
      </c>
      <c r="E503" s="6" t="n">
        <v>12.050389428931</v>
      </c>
      <c r="F503" s="6" t="n">
        <f aca="false">D503+E503</f>
        <v>150.050389428931</v>
      </c>
      <c r="G503" s="6" t="n">
        <f aca="false">F503-C503</f>
        <v>0.0503894289310267</v>
      </c>
      <c r="H503" s="4" t="str">
        <f aca="false">IF(G503&gt;2,"LATE",IF(G503&lt;-13,"EARLY","IN"))</f>
        <v>IN</v>
      </c>
      <c r="I503" s="4" t="n">
        <f aca="false">C503-D503</f>
        <v>12</v>
      </c>
    </row>
    <row r="504" customFormat="false" ht="15" hidden="false" customHeight="false" outlineLevel="0" collapsed="false">
      <c r="A504" s="4" t="n">
        <v>11</v>
      </c>
      <c r="B504" s="4" t="n">
        <v>6</v>
      </c>
      <c r="C504" s="4" t="n">
        <v>225</v>
      </c>
      <c r="D504" s="4" t="n">
        <v>198</v>
      </c>
      <c r="E504" s="6" t="n">
        <v>17.8836587009453</v>
      </c>
      <c r="F504" s="6" t="n">
        <f aca="false">D504+E504</f>
        <v>215.883658700945</v>
      </c>
      <c r="G504" s="6" t="n">
        <f aca="false">F504-C504</f>
        <v>-9.11634129905471</v>
      </c>
      <c r="H504" s="4" t="str">
        <f aca="false">IF(G504&gt;2,"LATE",IF(G504&lt;-13,"EARLY","IN"))</f>
        <v>IN</v>
      </c>
      <c r="I504" s="4" t="n">
        <f aca="false">C504-D504</f>
        <v>27</v>
      </c>
    </row>
    <row r="505" customFormat="false" ht="15" hidden="false" customHeight="false" outlineLevel="0" collapsed="false">
      <c r="A505" s="4" t="n">
        <v>11</v>
      </c>
      <c r="B505" s="4" t="n">
        <v>14</v>
      </c>
      <c r="C505" s="4" t="n">
        <v>147</v>
      </c>
      <c r="D505" s="4" t="n">
        <v>130</v>
      </c>
      <c r="E505" s="6" t="n">
        <v>12.8502560192669</v>
      </c>
      <c r="F505" s="6" t="n">
        <f aca="false">D505+E505</f>
        <v>142.850256019267</v>
      </c>
      <c r="G505" s="6" t="n">
        <f aca="false">F505-C505</f>
        <v>-4.14974398073312</v>
      </c>
      <c r="H505" s="4" t="str">
        <f aca="false">IF(G505&gt;2,"LATE",IF(G505&lt;-13,"EARLY","IN"))</f>
        <v>IN</v>
      </c>
      <c r="I505" s="4" t="n">
        <f aca="false">C505-D505</f>
        <v>17</v>
      </c>
    </row>
    <row r="506" customFormat="false" ht="15" hidden="false" customHeight="false" outlineLevel="0" collapsed="false">
      <c r="A506" s="4" t="n">
        <v>11</v>
      </c>
      <c r="B506" s="4" t="n">
        <v>15</v>
      </c>
      <c r="C506" s="4" t="n">
        <v>178</v>
      </c>
      <c r="D506" s="4" t="n">
        <v>161</v>
      </c>
      <c r="E506" s="6" t="n">
        <v>13.2792740370815</v>
      </c>
      <c r="F506" s="6" t="n">
        <f aca="false">D506+E506</f>
        <v>174.279274037082</v>
      </c>
      <c r="G506" s="6" t="n">
        <f aca="false">F506-C506</f>
        <v>-3.72072596291849</v>
      </c>
      <c r="H506" s="4" t="str">
        <f aca="false">IF(G506&gt;2,"LATE",IF(G506&lt;-13,"EARLY","IN"))</f>
        <v>IN</v>
      </c>
      <c r="I506" s="4" t="n">
        <f aca="false">C506-D506</f>
        <v>17</v>
      </c>
    </row>
    <row r="507" customFormat="false" ht="15" hidden="false" customHeight="false" outlineLevel="0" collapsed="false">
      <c r="A507" s="4" t="n">
        <v>11</v>
      </c>
      <c r="B507" s="4" t="n">
        <v>16</v>
      </c>
      <c r="C507" s="4" t="n">
        <v>172</v>
      </c>
      <c r="D507" s="4" t="n">
        <v>155</v>
      </c>
      <c r="E507" s="6" t="n">
        <v>14.7723809258707</v>
      </c>
      <c r="F507" s="6" t="n">
        <f aca="false">D507+E507</f>
        <v>169.772380925871</v>
      </c>
      <c r="G507" s="6" t="n">
        <f aca="false">F507-C507</f>
        <v>-2.22761907412928</v>
      </c>
      <c r="H507" s="4" t="str">
        <f aca="false">IF(G507&gt;2,"LATE",IF(G507&lt;-13,"EARLY","IN"))</f>
        <v>IN</v>
      </c>
      <c r="I507" s="4" t="n">
        <f aca="false">C507-D507</f>
        <v>17</v>
      </c>
    </row>
    <row r="508" customFormat="false" ht="15" hidden="false" customHeight="false" outlineLevel="0" collapsed="false">
      <c r="A508" s="4" t="n">
        <v>11</v>
      </c>
      <c r="B508" s="4" t="n">
        <v>18</v>
      </c>
      <c r="C508" s="4" t="n">
        <v>196</v>
      </c>
      <c r="D508" s="4" t="n">
        <v>178</v>
      </c>
      <c r="E508" s="6" t="n">
        <v>15.1633430562117</v>
      </c>
      <c r="F508" s="6" t="n">
        <f aca="false">D508+E508</f>
        <v>193.163343056212</v>
      </c>
      <c r="G508" s="6" t="n">
        <f aca="false">F508-C508</f>
        <v>-2.83665694378826</v>
      </c>
      <c r="H508" s="4" t="str">
        <f aca="false">IF(G508&gt;2,"LATE",IF(G508&lt;-13,"EARLY","IN"))</f>
        <v>IN</v>
      </c>
      <c r="I508" s="4" t="n">
        <f aca="false">C508-D508</f>
        <v>18</v>
      </c>
    </row>
    <row r="509" customFormat="false" ht="15" hidden="false" customHeight="false" outlineLevel="0" collapsed="false">
      <c r="A509" s="4" t="n">
        <v>11</v>
      </c>
      <c r="B509" s="4" t="n">
        <v>19</v>
      </c>
      <c r="C509" s="4" t="n">
        <v>167</v>
      </c>
      <c r="D509" s="4" t="n">
        <v>145</v>
      </c>
      <c r="E509" s="6" t="n">
        <v>13.6651079484387</v>
      </c>
      <c r="F509" s="6" t="n">
        <f aca="false">D509+E509</f>
        <v>158.665107948439</v>
      </c>
      <c r="G509" s="6" t="n">
        <f aca="false">F509-C509</f>
        <v>-8.33489205156127</v>
      </c>
      <c r="H509" s="4" t="str">
        <f aca="false">IF(G509&gt;2,"LATE",IF(G509&lt;-13,"EARLY","IN"))</f>
        <v>IN</v>
      </c>
      <c r="I509" s="4" t="n">
        <f aca="false">C509-D509</f>
        <v>22</v>
      </c>
    </row>
    <row r="510" customFormat="false" ht="15" hidden="false" customHeight="false" outlineLevel="0" collapsed="false">
      <c r="A510" s="4" t="n">
        <v>11</v>
      </c>
      <c r="B510" s="4" t="n">
        <v>30</v>
      </c>
      <c r="C510" s="4" t="n">
        <v>200</v>
      </c>
      <c r="D510" s="4" t="n">
        <v>183</v>
      </c>
      <c r="E510" s="6" t="n">
        <v>16.3298811507793</v>
      </c>
      <c r="F510" s="6" t="n">
        <f aca="false">D510+E510</f>
        <v>199.329881150779</v>
      </c>
      <c r="G510" s="6" t="n">
        <f aca="false">F510-C510</f>
        <v>-0.6701188492207</v>
      </c>
      <c r="H510" s="4" t="str">
        <f aca="false">IF(G510&gt;2,"LATE",IF(G510&lt;-13,"EARLY","IN"))</f>
        <v>IN</v>
      </c>
      <c r="I510" s="4" t="n">
        <f aca="false">C510-D510</f>
        <v>17</v>
      </c>
    </row>
    <row r="511" customFormat="false" ht="15" hidden="false" customHeight="false" outlineLevel="0" collapsed="false">
      <c r="A511" s="4" t="n">
        <v>11</v>
      </c>
      <c r="B511" s="4" t="n">
        <v>32</v>
      </c>
      <c r="C511" s="4" t="n">
        <v>193</v>
      </c>
      <c r="D511" s="4" t="n">
        <v>181</v>
      </c>
      <c r="E511" s="6" t="n">
        <v>14.8516351676574</v>
      </c>
      <c r="F511" s="6" t="n">
        <f aca="false">D511+E511</f>
        <v>195.851635167657</v>
      </c>
      <c r="G511" s="6" t="n">
        <f aca="false">F511-C511</f>
        <v>2.85163516765743</v>
      </c>
      <c r="H511" s="4" t="str">
        <f aca="false">IF(G511&gt;2,"LATE",IF(G511&lt;-13,"EARLY","IN"))</f>
        <v>LATE</v>
      </c>
      <c r="I511" s="4" t="n">
        <f aca="false">C511-D511</f>
        <v>12</v>
      </c>
    </row>
    <row r="512" customFormat="false" ht="15" hidden="false" customHeight="false" outlineLevel="0" collapsed="false">
      <c r="A512" s="4" t="n">
        <v>11</v>
      </c>
      <c r="B512" s="4" t="n">
        <v>37</v>
      </c>
      <c r="C512" s="4" t="n">
        <v>177</v>
      </c>
      <c r="D512" s="4" t="n">
        <v>163</v>
      </c>
      <c r="E512" s="6" t="n">
        <v>13.5131603725685</v>
      </c>
      <c r="F512" s="6" t="n">
        <f aca="false">D512+E512</f>
        <v>176.513160372569</v>
      </c>
      <c r="G512" s="6" t="n">
        <f aca="false">F512-C512</f>
        <v>-0.486839627431493</v>
      </c>
      <c r="H512" s="4" t="str">
        <f aca="false">IF(G512&gt;2,"LATE",IF(G512&lt;-13,"EARLY","IN"))</f>
        <v>IN</v>
      </c>
      <c r="I512" s="4" t="n">
        <f aca="false">C512-D512</f>
        <v>14</v>
      </c>
    </row>
    <row r="513" customFormat="false" ht="15" hidden="false" customHeight="false" outlineLevel="0" collapsed="false">
      <c r="A513" s="4" t="n">
        <v>11</v>
      </c>
      <c r="B513" s="4" t="n">
        <v>49</v>
      </c>
      <c r="C513" s="4" t="n">
        <v>285</v>
      </c>
      <c r="D513" s="4" t="n">
        <v>258</v>
      </c>
      <c r="E513" s="6" t="n">
        <v>17.3321090594528</v>
      </c>
      <c r="F513" s="6" t="n">
        <f aca="false">D513+E513</f>
        <v>275.332109059453</v>
      </c>
      <c r="G513" s="6" t="n">
        <f aca="false">F513-C513</f>
        <v>-9.66789094054718</v>
      </c>
      <c r="H513" s="4" t="str">
        <f aca="false">IF(G513&gt;2,"LATE",IF(G513&lt;-13,"EARLY","IN"))</f>
        <v>IN</v>
      </c>
      <c r="I513" s="4" t="n">
        <f aca="false">C513-D513</f>
        <v>27</v>
      </c>
    </row>
    <row r="514" customFormat="false" ht="15" hidden="false" customHeight="false" outlineLevel="0" collapsed="false">
      <c r="A514" s="4" t="n">
        <v>11</v>
      </c>
      <c r="B514" s="4" t="n">
        <v>51</v>
      </c>
      <c r="C514" s="4" t="n">
        <v>182</v>
      </c>
      <c r="D514" s="4" t="n">
        <v>163</v>
      </c>
      <c r="E514" s="6" t="n">
        <v>14.7262977025789</v>
      </c>
      <c r="F514" s="6" t="n">
        <f aca="false">D514+E514</f>
        <v>177.726297702579</v>
      </c>
      <c r="G514" s="6" t="n">
        <f aca="false">F514-C514</f>
        <v>-4.27370229742107</v>
      </c>
      <c r="H514" s="4" t="str">
        <f aca="false">IF(G514&gt;2,"LATE",IF(G514&lt;-13,"EARLY","IN"))</f>
        <v>IN</v>
      </c>
      <c r="I514" s="4" t="n">
        <f aca="false">C514-D514</f>
        <v>19</v>
      </c>
    </row>
    <row r="515" customFormat="false" ht="15" hidden="false" customHeight="false" outlineLevel="0" collapsed="false">
      <c r="A515" s="4" t="n">
        <v>11</v>
      </c>
      <c r="B515" s="4" t="n">
        <v>54</v>
      </c>
      <c r="C515" s="4" t="n">
        <v>249</v>
      </c>
      <c r="D515" s="4" t="n">
        <v>228</v>
      </c>
      <c r="E515" s="6" t="n">
        <v>17.4281661534288</v>
      </c>
      <c r="F515" s="6" t="n">
        <f aca="false">D515+E515</f>
        <v>245.428166153429</v>
      </c>
      <c r="G515" s="6" t="n">
        <f aca="false">F515-C515</f>
        <v>-3.5718338465712</v>
      </c>
      <c r="H515" s="4" t="str">
        <f aca="false">IF(G515&gt;2,"LATE",IF(G515&lt;-13,"EARLY","IN"))</f>
        <v>IN</v>
      </c>
      <c r="I515" s="4" t="n">
        <f aca="false">C515-D515</f>
        <v>21</v>
      </c>
    </row>
    <row r="516" customFormat="false" ht="15" hidden="false" customHeight="false" outlineLevel="0" collapsed="false">
      <c r="A516" s="4" t="n">
        <v>11</v>
      </c>
      <c r="B516" s="4" t="n">
        <v>55</v>
      </c>
      <c r="C516" s="4" t="n">
        <v>147</v>
      </c>
      <c r="D516" s="4" t="n">
        <v>129</v>
      </c>
      <c r="E516" s="6" t="n">
        <v>13.0694822665903</v>
      </c>
      <c r="F516" s="6" t="n">
        <f aca="false">D516+E516</f>
        <v>142.06948226659</v>
      </c>
      <c r="G516" s="6" t="n">
        <f aca="false">F516-C516</f>
        <v>-4.93051773340974</v>
      </c>
      <c r="H516" s="4" t="str">
        <f aca="false">IF(G516&gt;2,"LATE",IF(G516&lt;-13,"EARLY","IN"))</f>
        <v>IN</v>
      </c>
      <c r="I516" s="4" t="n">
        <f aca="false">C516-D516</f>
        <v>18</v>
      </c>
    </row>
    <row r="517" customFormat="false" ht="15" hidden="false" customHeight="false" outlineLevel="0" collapsed="false">
      <c r="A517" s="4" t="n">
        <v>11</v>
      </c>
      <c r="B517" s="4" t="n">
        <v>63</v>
      </c>
      <c r="C517" s="4" t="n">
        <v>254</v>
      </c>
      <c r="D517" s="4" t="n">
        <v>237</v>
      </c>
      <c r="E517" s="6" t="n">
        <v>14.2038210511102</v>
      </c>
      <c r="F517" s="6" t="n">
        <f aca="false">D517+E517</f>
        <v>251.20382105111</v>
      </c>
      <c r="G517" s="6" t="n">
        <f aca="false">F517-C517</f>
        <v>-2.79617894888983</v>
      </c>
      <c r="H517" s="4" t="str">
        <f aca="false">IF(G517&gt;2,"LATE",IF(G517&lt;-13,"EARLY","IN"))</f>
        <v>IN</v>
      </c>
      <c r="I517" s="4" t="n">
        <f aca="false">C517-D517</f>
        <v>17</v>
      </c>
    </row>
    <row r="518" customFormat="false" ht="15" hidden="false" customHeight="false" outlineLevel="0" collapsed="false">
      <c r="A518" s="4" t="n">
        <v>11</v>
      </c>
      <c r="B518" s="4" t="n">
        <v>71</v>
      </c>
      <c r="C518" s="4" t="n">
        <v>225</v>
      </c>
      <c r="D518" s="4" t="n">
        <v>206</v>
      </c>
      <c r="E518" s="6" t="n">
        <v>13.7845804879234</v>
      </c>
      <c r="F518" s="6" t="n">
        <f aca="false">D518+E518</f>
        <v>219.784580487923</v>
      </c>
      <c r="G518" s="6" t="n">
        <f aca="false">F518-C518</f>
        <v>-5.21541951207658</v>
      </c>
      <c r="H518" s="4" t="str">
        <f aca="false">IF(G518&gt;2,"LATE",IF(G518&lt;-13,"EARLY","IN"))</f>
        <v>IN</v>
      </c>
      <c r="I518" s="4" t="n">
        <f aca="false">C518-D518</f>
        <v>19</v>
      </c>
    </row>
    <row r="519" customFormat="false" ht="15" hidden="false" customHeight="false" outlineLevel="0" collapsed="false">
      <c r="A519" s="4" t="n">
        <v>11</v>
      </c>
      <c r="B519" s="4" t="n">
        <v>72</v>
      </c>
      <c r="C519" s="4" t="n">
        <v>235</v>
      </c>
      <c r="D519" s="4" t="n">
        <v>208</v>
      </c>
      <c r="E519" s="6" t="n">
        <v>14.848044808588</v>
      </c>
      <c r="F519" s="6" t="n">
        <f aca="false">D519+E519</f>
        <v>222.848044808588</v>
      </c>
      <c r="G519" s="6" t="n">
        <f aca="false">F519-C519</f>
        <v>-12.151955191412</v>
      </c>
      <c r="H519" s="4" t="str">
        <f aca="false">IF(G519&gt;2,"LATE",IF(G519&lt;-13,"EARLY","IN"))</f>
        <v>IN</v>
      </c>
      <c r="I519" s="4" t="n">
        <f aca="false">C519-D519</f>
        <v>27</v>
      </c>
    </row>
    <row r="520" customFormat="false" ht="15" hidden="false" customHeight="false" outlineLevel="0" collapsed="false">
      <c r="A520" s="4" t="n">
        <v>11</v>
      </c>
      <c r="B520" s="4" t="n">
        <v>75</v>
      </c>
      <c r="C520" s="4" t="n">
        <v>186</v>
      </c>
      <c r="D520" s="4" t="n">
        <v>167</v>
      </c>
      <c r="E520" s="6" t="n">
        <v>16.9561810892397</v>
      </c>
      <c r="F520" s="6" t="n">
        <f aca="false">D520+E520</f>
        <v>183.95618108924</v>
      </c>
      <c r="G520" s="6" t="n">
        <f aca="false">F520-C520</f>
        <v>-2.04381891076034</v>
      </c>
      <c r="H520" s="4" t="str">
        <f aca="false">IF(G520&gt;2,"LATE",IF(G520&lt;-13,"EARLY","IN"))</f>
        <v>IN</v>
      </c>
      <c r="I520" s="4" t="n">
        <f aca="false">C520-D520</f>
        <v>19</v>
      </c>
    </row>
    <row r="521" customFormat="false" ht="15" hidden="false" customHeight="false" outlineLevel="0" collapsed="false">
      <c r="A521" s="4" t="n">
        <v>11</v>
      </c>
      <c r="B521" s="4" t="n">
        <v>77</v>
      </c>
      <c r="C521" s="4" t="n">
        <v>174</v>
      </c>
      <c r="D521" s="4" t="n">
        <v>156</v>
      </c>
      <c r="E521" s="6" t="n">
        <v>14.8212998099292</v>
      </c>
      <c r="F521" s="6" t="n">
        <f aca="false">D521+E521</f>
        <v>170.821299809929</v>
      </c>
      <c r="G521" s="6" t="n">
        <f aca="false">F521-C521</f>
        <v>-3.17870019007077</v>
      </c>
      <c r="H521" s="4" t="str">
        <f aca="false">IF(G521&gt;2,"LATE",IF(G521&lt;-13,"EARLY","IN"))</f>
        <v>IN</v>
      </c>
      <c r="I521" s="4" t="n">
        <f aca="false">C521-D521</f>
        <v>18</v>
      </c>
    </row>
    <row r="522" customFormat="false" ht="15" hidden="false" customHeight="false" outlineLevel="0" collapsed="false">
      <c r="A522" s="4" t="n">
        <v>11</v>
      </c>
      <c r="B522" s="4" t="n">
        <v>81</v>
      </c>
      <c r="C522" s="4" t="n">
        <v>199</v>
      </c>
      <c r="D522" s="4" t="n">
        <v>178</v>
      </c>
      <c r="E522" s="6" t="n">
        <v>16.6572968913236</v>
      </c>
      <c r="F522" s="6" t="n">
        <f aca="false">D522+E522</f>
        <v>194.657296891324</v>
      </c>
      <c r="G522" s="6" t="n">
        <f aca="false">F522-C522</f>
        <v>-4.34270310867638</v>
      </c>
      <c r="H522" s="4" t="str">
        <f aca="false">IF(G522&gt;2,"LATE",IF(G522&lt;-13,"EARLY","IN"))</f>
        <v>IN</v>
      </c>
      <c r="I522" s="4" t="n">
        <f aca="false">C522-D522</f>
        <v>21</v>
      </c>
    </row>
    <row r="523" customFormat="false" ht="15" hidden="false" customHeight="false" outlineLevel="0" collapsed="false">
      <c r="A523" s="4" t="n">
        <v>11</v>
      </c>
      <c r="B523" s="4" t="n">
        <v>83</v>
      </c>
      <c r="C523" s="4" t="n">
        <v>231</v>
      </c>
      <c r="D523" s="4" t="n">
        <v>214</v>
      </c>
      <c r="E523" s="6" t="n">
        <v>10.7450430012296</v>
      </c>
      <c r="F523" s="6" t="n">
        <f aca="false">D523+E523</f>
        <v>224.74504300123</v>
      </c>
      <c r="G523" s="6" t="n">
        <f aca="false">F523-C523</f>
        <v>-6.25495699877041</v>
      </c>
      <c r="H523" s="4" t="str">
        <f aca="false">IF(G523&gt;2,"LATE",IF(G523&lt;-13,"EARLY","IN"))</f>
        <v>IN</v>
      </c>
      <c r="I523" s="4" t="n">
        <f aca="false">C523-D523</f>
        <v>17</v>
      </c>
    </row>
    <row r="524" customFormat="false" ht="15" hidden="false" customHeight="false" outlineLevel="0" collapsed="false">
      <c r="A524" s="4" t="n">
        <v>11</v>
      </c>
      <c r="B524" s="4" t="n">
        <v>95</v>
      </c>
      <c r="C524" s="4" t="n">
        <v>234</v>
      </c>
      <c r="D524" s="4" t="n">
        <v>215</v>
      </c>
      <c r="E524" s="6" t="n">
        <v>12.9018336612946</v>
      </c>
      <c r="F524" s="6" t="n">
        <f aca="false">D524+E524</f>
        <v>227.901833661295</v>
      </c>
      <c r="G524" s="6" t="n">
        <f aca="false">F524-C524</f>
        <v>-6.0981663387054</v>
      </c>
      <c r="H524" s="4" t="str">
        <f aca="false">IF(G524&gt;2,"LATE",IF(G524&lt;-13,"EARLY","IN"))</f>
        <v>IN</v>
      </c>
      <c r="I524" s="4" t="n">
        <f aca="false">C524-D524</f>
        <v>19</v>
      </c>
    </row>
    <row r="525" customFormat="false" ht="15" hidden="false" customHeight="false" outlineLevel="0" collapsed="false">
      <c r="A525" s="4" t="n">
        <v>11</v>
      </c>
      <c r="B525" s="4" t="n">
        <v>97</v>
      </c>
      <c r="C525" s="4" t="n">
        <v>157</v>
      </c>
      <c r="D525" s="4" t="n">
        <v>136</v>
      </c>
      <c r="E525" s="6" t="n">
        <v>16.3951964058605</v>
      </c>
      <c r="F525" s="6" t="n">
        <f aca="false">D525+E525</f>
        <v>152.395196405861</v>
      </c>
      <c r="G525" s="6" t="n">
        <f aca="false">F525-C525</f>
        <v>-4.6048035941395</v>
      </c>
      <c r="H525" s="4" t="str">
        <f aca="false">IF(G525&gt;2,"LATE",IF(G525&lt;-13,"EARLY","IN"))</f>
        <v>IN</v>
      </c>
      <c r="I525" s="4" t="n">
        <f aca="false">C525-D525</f>
        <v>21</v>
      </c>
    </row>
    <row r="526" customFormat="false" ht="15" hidden="false" customHeight="false" outlineLevel="0" collapsed="false">
      <c r="A526" s="4" t="n">
        <v>11</v>
      </c>
      <c r="B526" s="4" t="n">
        <v>98</v>
      </c>
      <c r="C526" s="4" t="n">
        <v>206</v>
      </c>
      <c r="D526" s="4" t="n">
        <v>193</v>
      </c>
      <c r="E526" s="6" t="n">
        <v>13.3718324507037</v>
      </c>
      <c r="F526" s="6" t="n">
        <f aca="false">D526+E526</f>
        <v>206.371832450704</v>
      </c>
      <c r="G526" s="6" t="n">
        <f aca="false">F526-C526</f>
        <v>0.371832450703721</v>
      </c>
      <c r="H526" s="4" t="str">
        <f aca="false">IF(G526&gt;2,"LATE",IF(G526&lt;-13,"EARLY","IN"))</f>
        <v>IN</v>
      </c>
      <c r="I526" s="4" t="n">
        <f aca="false">C526-D526</f>
        <v>13</v>
      </c>
    </row>
    <row r="527" customFormat="false" ht="15" hidden="false" customHeight="false" outlineLevel="0" collapsed="false">
      <c r="A527" s="4" t="n">
        <v>11</v>
      </c>
      <c r="B527" s="4" t="n">
        <v>103</v>
      </c>
      <c r="C527" s="4" t="n">
        <v>243</v>
      </c>
      <c r="D527" s="4" t="n">
        <v>226</v>
      </c>
      <c r="E527" s="6" t="n">
        <v>15.7187989867154</v>
      </c>
      <c r="F527" s="6" t="n">
        <f aca="false">D527+E527</f>
        <v>241.718798986715</v>
      </c>
      <c r="G527" s="6" t="n">
        <f aca="false">F527-C527</f>
        <v>-1.2812010132846</v>
      </c>
      <c r="H527" s="4" t="str">
        <f aca="false">IF(G527&gt;2,"LATE",IF(G527&lt;-13,"EARLY","IN"))</f>
        <v>IN</v>
      </c>
      <c r="I527" s="4" t="n">
        <f aca="false">C527-D527</f>
        <v>17</v>
      </c>
    </row>
    <row r="528" customFormat="false" ht="15" hidden="false" customHeight="false" outlineLevel="0" collapsed="false">
      <c r="A528" s="4" t="n">
        <v>11</v>
      </c>
      <c r="B528" s="4" t="n">
        <v>105</v>
      </c>
      <c r="C528" s="4" t="n">
        <v>149</v>
      </c>
      <c r="D528" s="4" t="n">
        <v>137</v>
      </c>
      <c r="E528" s="6" t="n">
        <v>15.5226040064746</v>
      </c>
      <c r="F528" s="6" t="n">
        <f aca="false">D528+E528</f>
        <v>152.522604006475</v>
      </c>
      <c r="G528" s="6" t="n">
        <f aca="false">F528-C528</f>
        <v>3.52260400647461</v>
      </c>
      <c r="H528" s="4" t="str">
        <f aca="false">IF(G528&gt;2,"LATE",IF(G528&lt;-13,"EARLY","IN"))</f>
        <v>LATE</v>
      </c>
      <c r="I528" s="4" t="n">
        <f aca="false">C528-D528</f>
        <v>12</v>
      </c>
    </row>
    <row r="529" customFormat="false" ht="15" hidden="false" customHeight="false" outlineLevel="0" collapsed="false">
      <c r="A529" s="4" t="n">
        <v>11</v>
      </c>
      <c r="B529" s="4" t="n">
        <v>110</v>
      </c>
      <c r="C529" s="4" t="n">
        <v>277</v>
      </c>
      <c r="D529" s="4" t="n">
        <v>250</v>
      </c>
      <c r="E529" s="6" t="n">
        <v>15.2278076112965</v>
      </c>
      <c r="F529" s="6" t="n">
        <f aca="false">D529+E529</f>
        <v>265.227807611297</v>
      </c>
      <c r="G529" s="6" t="n">
        <f aca="false">F529-C529</f>
        <v>-11.7721923887035</v>
      </c>
      <c r="H529" s="4" t="str">
        <f aca="false">IF(G529&gt;2,"LATE",IF(G529&lt;-13,"EARLY","IN"))</f>
        <v>IN</v>
      </c>
      <c r="I529" s="4" t="n">
        <f aca="false">C529-D529</f>
        <v>27</v>
      </c>
    </row>
    <row r="530" customFormat="false" ht="15" hidden="false" customHeight="false" outlineLevel="0" collapsed="false">
      <c r="A530" s="4" t="n">
        <v>11</v>
      </c>
      <c r="B530" s="4" t="n">
        <v>126</v>
      </c>
      <c r="C530" s="4" t="n">
        <v>241</v>
      </c>
      <c r="D530" s="4" t="n">
        <v>226</v>
      </c>
      <c r="E530" s="6" t="n">
        <v>14.3347299826285</v>
      </c>
      <c r="F530" s="6" t="n">
        <f aca="false">D530+E530</f>
        <v>240.334729982628</v>
      </c>
      <c r="G530" s="6" t="n">
        <f aca="false">F530-C530</f>
        <v>-0.66527001737154</v>
      </c>
      <c r="H530" s="4" t="str">
        <f aca="false">IF(G530&gt;2,"LATE",IF(G530&lt;-13,"EARLY","IN"))</f>
        <v>IN</v>
      </c>
      <c r="I530" s="4" t="n">
        <f aca="false">C530-D530</f>
        <v>15</v>
      </c>
    </row>
    <row r="531" customFormat="false" ht="15" hidden="false" customHeight="false" outlineLevel="0" collapsed="false">
      <c r="A531" s="4" t="n">
        <v>11</v>
      </c>
      <c r="B531" s="4" t="n">
        <v>127</v>
      </c>
      <c r="C531" s="4" t="n">
        <v>163</v>
      </c>
      <c r="D531" s="4" t="n">
        <v>142</v>
      </c>
      <c r="E531" s="6" t="n">
        <v>14.6593385858414</v>
      </c>
      <c r="F531" s="6" t="n">
        <f aca="false">D531+E531</f>
        <v>156.659338585841</v>
      </c>
      <c r="G531" s="6" t="n">
        <f aca="false">F531-C531</f>
        <v>-6.3406614141586</v>
      </c>
      <c r="H531" s="4" t="str">
        <f aca="false">IF(G531&gt;2,"LATE",IF(G531&lt;-13,"EARLY","IN"))</f>
        <v>IN</v>
      </c>
      <c r="I531" s="4" t="n">
        <f aca="false">C531-D531</f>
        <v>21</v>
      </c>
    </row>
    <row r="532" customFormat="false" ht="15" hidden="false" customHeight="false" outlineLevel="0" collapsed="false">
      <c r="A532" s="4" t="n">
        <v>11</v>
      </c>
      <c r="B532" s="4" t="n">
        <v>132</v>
      </c>
      <c r="C532" s="4" t="n">
        <v>199</v>
      </c>
      <c r="D532" s="4" t="n">
        <v>187</v>
      </c>
      <c r="E532" s="6" t="n">
        <v>14.2246155595751</v>
      </c>
      <c r="F532" s="6" t="n">
        <f aca="false">D532+E532</f>
        <v>201.224615559575</v>
      </c>
      <c r="G532" s="6" t="n">
        <f aca="false">F532-C532</f>
        <v>2.22461555957509</v>
      </c>
      <c r="H532" s="4" t="str">
        <f aca="false">IF(G532&gt;2,"LATE",IF(G532&lt;-13,"EARLY","IN"))</f>
        <v>LATE</v>
      </c>
      <c r="I532" s="4" t="n">
        <f aca="false">C532-D532</f>
        <v>12</v>
      </c>
    </row>
    <row r="533" customFormat="false" ht="15" hidden="false" customHeight="false" outlineLevel="0" collapsed="false">
      <c r="A533" s="4" t="n">
        <v>11</v>
      </c>
      <c r="B533" s="4" t="n">
        <v>133</v>
      </c>
      <c r="C533" s="4" t="n">
        <v>151</v>
      </c>
      <c r="D533" s="4" t="n">
        <v>132</v>
      </c>
      <c r="E533" s="6" t="n">
        <v>15.6236869145887</v>
      </c>
      <c r="F533" s="6" t="n">
        <f aca="false">D533+E533</f>
        <v>147.623686914589</v>
      </c>
      <c r="G533" s="6" t="n">
        <f aca="false">F533-C533</f>
        <v>-3.37631308541128</v>
      </c>
      <c r="H533" s="4" t="str">
        <f aca="false">IF(G533&gt;2,"LATE",IF(G533&lt;-13,"EARLY","IN"))</f>
        <v>IN</v>
      </c>
      <c r="I533" s="4" t="n">
        <f aca="false">C533-D533</f>
        <v>19</v>
      </c>
    </row>
    <row r="534" customFormat="false" ht="15" hidden="false" customHeight="false" outlineLevel="0" collapsed="false">
      <c r="A534" s="4" t="n">
        <v>11</v>
      </c>
      <c r="B534" s="4" t="n">
        <v>136</v>
      </c>
      <c r="C534" s="4" t="n">
        <v>232</v>
      </c>
      <c r="D534" s="4" t="n">
        <v>208</v>
      </c>
      <c r="E534" s="6" t="n">
        <v>14.5080339770385</v>
      </c>
      <c r="F534" s="6" t="n">
        <f aca="false">D534+E534</f>
        <v>222.508033977038</v>
      </c>
      <c r="G534" s="6" t="n">
        <f aca="false">F534-C534</f>
        <v>-9.49196602296152</v>
      </c>
      <c r="H534" s="4" t="str">
        <f aca="false">IF(G534&gt;2,"LATE",IF(G534&lt;-13,"EARLY","IN"))</f>
        <v>IN</v>
      </c>
      <c r="I534" s="4" t="n">
        <f aca="false">C534-D534</f>
        <v>24</v>
      </c>
    </row>
    <row r="535" customFormat="false" ht="15" hidden="false" customHeight="false" outlineLevel="0" collapsed="false">
      <c r="A535" s="4" t="n">
        <v>11</v>
      </c>
      <c r="B535" s="4" t="n">
        <v>145</v>
      </c>
      <c r="C535" s="4" t="n">
        <v>189</v>
      </c>
      <c r="D535" s="4" t="n">
        <v>167</v>
      </c>
      <c r="E535" s="6" t="n">
        <v>15.6043921186112</v>
      </c>
      <c r="F535" s="6" t="n">
        <f aca="false">D535+E535</f>
        <v>182.604392118611</v>
      </c>
      <c r="G535" s="6" t="n">
        <f aca="false">F535-C535</f>
        <v>-6.39560788138877</v>
      </c>
      <c r="H535" s="4" t="str">
        <f aca="false">IF(G535&gt;2,"LATE",IF(G535&lt;-13,"EARLY","IN"))</f>
        <v>IN</v>
      </c>
      <c r="I535" s="4" t="n">
        <f aca="false">C535-D535</f>
        <v>22</v>
      </c>
    </row>
    <row r="536" customFormat="false" ht="15" hidden="false" customHeight="false" outlineLevel="0" collapsed="false">
      <c r="A536" s="4" t="n">
        <v>11</v>
      </c>
      <c r="B536" s="4" t="n">
        <v>152</v>
      </c>
      <c r="C536" s="4" t="n">
        <v>213</v>
      </c>
      <c r="D536" s="4" t="n">
        <v>193</v>
      </c>
      <c r="E536" s="6" t="n">
        <v>13.7606224594777</v>
      </c>
      <c r="F536" s="6" t="n">
        <f aca="false">D536+E536</f>
        <v>206.760622459478</v>
      </c>
      <c r="G536" s="6" t="n">
        <f aca="false">F536-C536</f>
        <v>-6.23937754052236</v>
      </c>
      <c r="H536" s="4" t="str">
        <f aca="false">IF(G536&gt;2,"LATE",IF(G536&lt;-13,"EARLY","IN"))</f>
        <v>IN</v>
      </c>
      <c r="I536" s="4" t="n">
        <f aca="false">C536-D536</f>
        <v>20</v>
      </c>
    </row>
    <row r="537" customFormat="false" ht="15" hidden="false" customHeight="false" outlineLevel="0" collapsed="false">
      <c r="A537" s="4" t="n">
        <v>11</v>
      </c>
      <c r="B537" s="4" t="n">
        <v>156</v>
      </c>
      <c r="C537" s="4" t="n">
        <v>228</v>
      </c>
      <c r="D537" s="4" t="n">
        <v>215</v>
      </c>
      <c r="E537" s="6" t="n">
        <v>9.64967997318433</v>
      </c>
      <c r="F537" s="6" t="n">
        <f aca="false">D537+E537</f>
        <v>224.649679973184</v>
      </c>
      <c r="G537" s="6" t="n">
        <f aca="false">F537-C537</f>
        <v>-3.35032002681567</v>
      </c>
      <c r="H537" s="4" t="str">
        <f aca="false">IF(G537&gt;2,"LATE",IF(G537&lt;-13,"EARLY","IN"))</f>
        <v>IN</v>
      </c>
      <c r="I537" s="4" t="n">
        <f aca="false">C537-D537</f>
        <v>13</v>
      </c>
    </row>
    <row r="538" customFormat="false" ht="15" hidden="false" customHeight="false" outlineLevel="0" collapsed="false">
      <c r="A538" s="4" t="n">
        <v>11</v>
      </c>
      <c r="B538" s="4" t="n">
        <v>168</v>
      </c>
      <c r="C538" s="4" t="n">
        <v>253</v>
      </c>
      <c r="D538" s="4" t="n">
        <v>228</v>
      </c>
      <c r="E538" s="6" t="n">
        <v>15.4296526876934</v>
      </c>
      <c r="F538" s="6" t="n">
        <f aca="false">D538+E538</f>
        <v>243.429652687693</v>
      </c>
      <c r="G538" s="6" t="n">
        <f aca="false">F538-C538</f>
        <v>-9.57034731230661</v>
      </c>
      <c r="H538" s="4" t="str">
        <f aca="false">IF(G538&gt;2,"LATE",IF(G538&lt;-13,"EARLY","IN"))</f>
        <v>IN</v>
      </c>
      <c r="I538" s="4" t="n">
        <f aca="false">C538-D538</f>
        <v>25</v>
      </c>
    </row>
    <row r="539" customFormat="false" ht="15" hidden="false" customHeight="false" outlineLevel="0" collapsed="false">
      <c r="A539" s="4" t="n">
        <v>11</v>
      </c>
      <c r="B539" s="4" t="n">
        <v>170</v>
      </c>
      <c r="C539" s="4" t="n">
        <v>302</v>
      </c>
      <c r="D539" s="4" t="n">
        <v>278</v>
      </c>
      <c r="E539" s="6" t="n">
        <v>17.7955221881602</v>
      </c>
      <c r="F539" s="6" t="n">
        <f aca="false">D539+E539</f>
        <v>295.79552218816</v>
      </c>
      <c r="G539" s="6" t="n">
        <f aca="false">F539-C539</f>
        <v>-6.20447781183975</v>
      </c>
      <c r="H539" s="4" t="str">
        <f aca="false">IF(G539&gt;2,"LATE",IF(G539&lt;-13,"EARLY","IN"))</f>
        <v>IN</v>
      </c>
      <c r="I539" s="4" t="n">
        <f aca="false">C539-D539</f>
        <v>24</v>
      </c>
    </row>
    <row r="540" customFormat="false" ht="15" hidden="false" customHeight="false" outlineLevel="0" collapsed="false">
      <c r="A540" s="4" t="n">
        <v>11</v>
      </c>
      <c r="B540" s="4" t="n">
        <v>177</v>
      </c>
      <c r="C540" s="4" t="n">
        <v>218</v>
      </c>
      <c r="D540" s="4" t="n">
        <v>204</v>
      </c>
      <c r="E540" s="6" t="n">
        <v>15.2885468152281</v>
      </c>
      <c r="F540" s="6" t="n">
        <f aca="false">D540+E540</f>
        <v>219.288546815228</v>
      </c>
      <c r="G540" s="6" t="n">
        <f aca="false">F540-C540</f>
        <v>1.2885468152281</v>
      </c>
      <c r="H540" s="4" t="str">
        <f aca="false">IF(G540&gt;2,"LATE",IF(G540&lt;-13,"EARLY","IN"))</f>
        <v>IN</v>
      </c>
      <c r="I540" s="4" t="n">
        <f aca="false">C540-D540</f>
        <v>14</v>
      </c>
    </row>
    <row r="541" customFormat="false" ht="15" hidden="false" customHeight="false" outlineLevel="0" collapsed="false">
      <c r="A541" s="4" t="n">
        <v>11</v>
      </c>
      <c r="B541" s="4" t="n">
        <v>178</v>
      </c>
      <c r="C541" s="4" t="n">
        <v>255</v>
      </c>
      <c r="D541" s="4" t="n">
        <v>229</v>
      </c>
      <c r="E541" s="6" t="n">
        <v>18.4435965308902</v>
      </c>
      <c r="F541" s="6" t="n">
        <f aca="false">D541+E541</f>
        <v>247.44359653089</v>
      </c>
      <c r="G541" s="6" t="n">
        <f aca="false">F541-C541</f>
        <v>-7.5564034691098</v>
      </c>
      <c r="H541" s="4" t="str">
        <f aca="false">IF(G541&gt;2,"LATE",IF(G541&lt;-13,"EARLY","IN"))</f>
        <v>IN</v>
      </c>
      <c r="I541" s="4" t="n">
        <f aca="false">C541-D541</f>
        <v>26</v>
      </c>
    </row>
    <row r="542" customFormat="false" ht="15" hidden="false" customHeight="false" outlineLevel="0" collapsed="false">
      <c r="A542" s="4" t="n">
        <v>11</v>
      </c>
      <c r="B542" s="4" t="n">
        <v>179</v>
      </c>
      <c r="C542" s="4" t="n">
        <v>223</v>
      </c>
      <c r="D542" s="4" t="n">
        <v>207</v>
      </c>
      <c r="E542" s="6" t="n">
        <v>12.5280232507341</v>
      </c>
      <c r="F542" s="6" t="n">
        <f aca="false">D542+E542</f>
        <v>219.528023250734</v>
      </c>
      <c r="G542" s="6" t="n">
        <f aca="false">F542-C542</f>
        <v>-3.47197674926593</v>
      </c>
      <c r="H542" s="4" t="str">
        <f aca="false">IF(G542&gt;2,"LATE",IF(G542&lt;-13,"EARLY","IN"))</f>
        <v>IN</v>
      </c>
      <c r="I542" s="4" t="n">
        <f aca="false">C542-D542</f>
        <v>16</v>
      </c>
    </row>
    <row r="543" customFormat="false" ht="15" hidden="false" customHeight="false" outlineLevel="0" collapsed="false">
      <c r="A543" s="4" t="n">
        <v>11</v>
      </c>
      <c r="B543" s="4" t="n">
        <v>181</v>
      </c>
      <c r="C543" s="4" t="n">
        <v>161</v>
      </c>
      <c r="D543" s="4" t="n">
        <v>141</v>
      </c>
      <c r="E543" s="6" t="n">
        <v>12.3791382201075</v>
      </c>
      <c r="F543" s="6" t="n">
        <f aca="false">D543+E543</f>
        <v>153.379138220108</v>
      </c>
      <c r="G543" s="6" t="n">
        <f aca="false">F543-C543</f>
        <v>-7.62086177989249</v>
      </c>
      <c r="H543" s="4" t="str">
        <f aca="false">IF(G543&gt;2,"LATE",IF(G543&lt;-13,"EARLY","IN"))</f>
        <v>IN</v>
      </c>
      <c r="I543" s="4" t="n">
        <f aca="false">C543-D543</f>
        <v>20</v>
      </c>
    </row>
    <row r="544" customFormat="false" ht="15" hidden="false" customHeight="false" outlineLevel="0" collapsed="false">
      <c r="A544" s="4" t="n">
        <v>11</v>
      </c>
      <c r="B544" s="4" t="n">
        <v>184</v>
      </c>
      <c r="C544" s="4" t="n">
        <v>160</v>
      </c>
      <c r="D544" s="4" t="n">
        <v>143</v>
      </c>
      <c r="E544" s="6" t="n">
        <v>14.2450702992006</v>
      </c>
      <c r="F544" s="6" t="n">
        <f aca="false">D544+E544</f>
        <v>157.245070299201</v>
      </c>
      <c r="G544" s="6" t="n">
        <f aca="false">F544-C544</f>
        <v>-2.75492970079941</v>
      </c>
      <c r="H544" s="4" t="str">
        <f aca="false">IF(G544&gt;2,"LATE",IF(G544&lt;-13,"EARLY","IN"))</f>
        <v>IN</v>
      </c>
      <c r="I544" s="4" t="n">
        <f aca="false">C544-D544</f>
        <v>17</v>
      </c>
    </row>
    <row r="545" customFormat="false" ht="15" hidden="false" customHeight="false" outlineLevel="0" collapsed="false">
      <c r="A545" s="4" t="n">
        <v>11</v>
      </c>
      <c r="B545" s="4" t="n">
        <v>185</v>
      </c>
      <c r="C545" s="4" t="n">
        <v>198</v>
      </c>
      <c r="D545" s="4" t="n">
        <v>180</v>
      </c>
      <c r="E545" s="6" t="n">
        <v>18.0819428166817</v>
      </c>
      <c r="F545" s="6" t="n">
        <f aca="false">D545+E545</f>
        <v>198.081942816682</v>
      </c>
      <c r="G545" s="6" t="n">
        <f aca="false">F545-C545</f>
        <v>0.0819428166817318</v>
      </c>
      <c r="H545" s="4" t="str">
        <f aca="false">IF(G545&gt;2,"LATE",IF(G545&lt;-13,"EARLY","IN"))</f>
        <v>IN</v>
      </c>
      <c r="I545" s="4" t="n">
        <f aca="false">C545-D545</f>
        <v>18</v>
      </c>
    </row>
    <row r="546" customFormat="false" ht="15" hidden="false" customHeight="false" outlineLevel="0" collapsed="false">
      <c r="A546" s="4" t="n">
        <v>11</v>
      </c>
      <c r="B546" s="4" t="n">
        <v>188</v>
      </c>
      <c r="C546" s="4" t="n">
        <v>246</v>
      </c>
      <c r="D546" s="4" t="n">
        <v>219</v>
      </c>
      <c r="E546" s="6" t="n">
        <v>15.3721702505196</v>
      </c>
      <c r="F546" s="6" t="n">
        <f aca="false">D546+E546</f>
        <v>234.37217025052</v>
      </c>
      <c r="G546" s="6" t="n">
        <f aca="false">F546-C546</f>
        <v>-11.6278297494804</v>
      </c>
      <c r="H546" s="4" t="str">
        <f aca="false">IF(G546&gt;2,"LATE",IF(G546&lt;-13,"EARLY","IN"))</f>
        <v>IN</v>
      </c>
      <c r="I546" s="4" t="n">
        <f aca="false">C546-D546</f>
        <v>27</v>
      </c>
    </row>
    <row r="547" customFormat="false" ht="15" hidden="false" customHeight="false" outlineLevel="0" collapsed="false">
      <c r="A547" s="4" t="n">
        <v>11</v>
      </c>
      <c r="B547" s="4" t="n">
        <v>191</v>
      </c>
      <c r="C547" s="4" t="n">
        <v>255</v>
      </c>
      <c r="D547" s="4" t="n">
        <v>224</v>
      </c>
      <c r="E547" s="6" t="n">
        <v>18.5742157117813</v>
      </c>
      <c r="F547" s="6" t="n">
        <f aca="false">D547+E547</f>
        <v>242.574215711781</v>
      </c>
      <c r="G547" s="6" t="n">
        <f aca="false">F547-C547</f>
        <v>-12.4257842882187</v>
      </c>
      <c r="H547" s="4" t="str">
        <f aca="false">IF(G547&gt;2,"LATE",IF(G547&lt;-13,"EARLY","IN"))</f>
        <v>IN</v>
      </c>
      <c r="I547" s="4" t="n">
        <f aca="false">C547-D547</f>
        <v>31</v>
      </c>
    </row>
    <row r="548" customFormat="false" ht="15" hidden="false" customHeight="false" outlineLevel="0" collapsed="false">
      <c r="A548" s="4" t="n">
        <v>11</v>
      </c>
      <c r="B548" s="4" t="n">
        <v>198</v>
      </c>
      <c r="C548" s="4" t="n">
        <v>137</v>
      </c>
      <c r="D548" s="4" t="n">
        <v>119</v>
      </c>
      <c r="E548" s="6" t="n">
        <v>14.7834367002265</v>
      </c>
      <c r="F548" s="6" t="n">
        <f aca="false">D548+E548</f>
        <v>133.783436700227</v>
      </c>
      <c r="G548" s="6" t="n">
        <f aca="false">F548-C548</f>
        <v>-3.2165632997735</v>
      </c>
      <c r="H548" s="4" t="str">
        <f aca="false">IF(G548&gt;2,"LATE",IF(G548&lt;-13,"EARLY","IN"))</f>
        <v>IN</v>
      </c>
      <c r="I548" s="4" t="n">
        <f aca="false">C548-D548</f>
        <v>18</v>
      </c>
    </row>
    <row r="549" customFormat="false" ht="15" hidden="false" customHeight="false" outlineLevel="0" collapsed="false">
      <c r="A549" s="4" t="n">
        <v>11</v>
      </c>
      <c r="B549" s="4" t="n">
        <v>199</v>
      </c>
      <c r="C549" s="4" t="n">
        <v>192</v>
      </c>
      <c r="D549" s="4" t="n">
        <v>174</v>
      </c>
      <c r="E549" s="6" t="n">
        <v>12.9785122446756</v>
      </c>
      <c r="F549" s="6" t="n">
        <f aca="false">D549+E549</f>
        <v>186.978512244676</v>
      </c>
      <c r="G549" s="6" t="n">
        <f aca="false">F549-C549</f>
        <v>-5.02148775532442</v>
      </c>
      <c r="H549" s="4" t="str">
        <f aca="false">IF(G549&gt;2,"LATE",IF(G549&lt;-13,"EARLY","IN"))</f>
        <v>IN</v>
      </c>
      <c r="I549" s="4" t="n">
        <f aca="false">C549-D549</f>
        <v>18</v>
      </c>
    </row>
    <row r="550" customFormat="false" ht="15" hidden="false" customHeight="false" outlineLevel="0" collapsed="false">
      <c r="A550" s="4" t="n">
        <v>11</v>
      </c>
      <c r="B550" s="4" t="n">
        <v>200</v>
      </c>
      <c r="C550" s="4" t="n">
        <v>182</v>
      </c>
      <c r="D550" s="4" t="n">
        <v>162</v>
      </c>
      <c r="E550" s="6" t="n">
        <v>14.1085395775708</v>
      </c>
      <c r="F550" s="6" t="n">
        <f aca="false">D550+E550</f>
        <v>176.108539577571</v>
      </c>
      <c r="G550" s="6" t="n">
        <f aca="false">F550-C550</f>
        <v>-5.89146042242922</v>
      </c>
      <c r="H550" s="4" t="str">
        <f aca="false">IF(G550&gt;2,"LATE",IF(G550&lt;-13,"EARLY","IN"))</f>
        <v>IN</v>
      </c>
      <c r="I550" s="4" t="n">
        <f aca="false">C550-D550</f>
        <v>20</v>
      </c>
    </row>
    <row r="551" customFormat="false" ht="15" hidden="false" customHeight="false" outlineLevel="0" collapsed="false">
      <c r="A551" s="4" t="n">
        <v>11</v>
      </c>
      <c r="B551" s="4" t="n">
        <v>207</v>
      </c>
      <c r="C551" s="4" t="n">
        <v>278</v>
      </c>
      <c r="D551" s="4" t="n">
        <v>256</v>
      </c>
      <c r="E551" s="6" t="n">
        <v>17.3263494111876</v>
      </c>
      <c r="F551" s="6" t="n">
        <f aca="false">D551+E551</f>
        <v>273.326349411188</v>
      </c>
      <c r="G551" s="6" t="n">
        <f aca="false">F551-C551</f>
        <v>-4.67365058881239</v>
      </c>
      <c r="H551" s="4" t="str">
        <f aca="false">IF(G551&gt;2,"LATE",IF(G551&lt;-13,"EARLY","IN"))</f>
        <v>IN</v>
      </c>
      <c r="I551" s="4" t="n">
        <f aca="false">C551-D551</f>
        <v>22</v>
      </c>
    </row>
    <row r="552" customFormat="false" ht="15" hidden="false" customHeight="false" outlineLevel="0" collapsed="false">
      <c r="A552" s="4" t="n">
        <v>12</v>
      </c>
      <c r="B552" s="4" t="n">
        <v>23</v>
      </c>
      <c r="C552" s="4" t="n">
        <v>213</v>
      </c>
      <c r="D552" s="4" t="n">
        <v>200</v>
      </c>
      <c r="E552" s="6" t="n">
        <v>11.7807047550039</v>
      </c>
      <c r="F552" s="6" t="n">
        <f aca="false">D552+E552</f>
        <v>211.780704755004</v>
      </c>
      <c r="G552" s="6" t="n">
        <f aca="false">F552-C552</f>
        <v>-1.21929524499609</v>
      </c>
      <c r="H552" s="4" t="str">
        <f aca="false">IF(G552&gt;2,"LATE",IF(G552&lt;-13,"EARLY","IN"))</f>
        <v>IN</v>
      </c>
      <c r="I552" s="4" t="n">
        <f aca="false">C552-D552</f>
        <v>13</v>
      </c>
    </row>
    <row r="553" customFormat="false" ht="15" hidden="false" customHeight="false" outlineLevel="0" collapsed="false">
      <c r="A553" s="4" t="n">
        <v>12</v>
      </c>
      <c r="B553" s="4" t="n">
        <v>25</v>
      </c>
      <c r="C553" s="4" t="n">
        <v>281</v>
      </c>
      <c r="D553" s="4" t="n">
        <v>253</v>
      </c>
      <c r="E553" s="6" t="n">
        <v>18.8959413470179</v>
      </c>
      <c r="F553" s="6" t="n">
        <f aca="false">D553+E553</f>
        <v>271.895941347018</v>
      </c>
      <c r="G553" s="6" t="n">
        <f aca="false">F553-C553</f>
        <v>-9.10405865298213</v>
      </c>
      <c r="H553" s="4" t="str">
        <f aca="false">IF(G553&gt;2,"LATE",IF(G553&lt;-13,"EARLY","IN"))</f>
        <v>IN</v>
      </c>
      <c r="I553" s="4" t="n">
        <f aca="false">C553-D553</f>
        <v>28</v>
      </c>
    </row>
    <row r="554" customFormat="false" ht="15" hidden="false" customHeight="false" outlineLevel="0" collapsed="false">
      <c r="A554" s="4" t="n">
        <v>12</v>
      </c>
      <c r="B554" s="4" t="n">
        <v>28</v>
      </c>
      <c r="C554" s="4" t="n">
        <v>278</v>
      </c>
      <c r="D554" s="4" t="n">
        <v>261</v>
      </c>
      <c r="E554" s="6" t="n">
        <v>15.1289239018208</v>
      </c>
      <c r="F554" s="6" t="n">
        <f aca="false">D554+E554</f>
        <v>276.128923901821</v>
      </c>
      <c r="G554" s="6" t="n">
        <f aca="false">F554-C554</f>
        <v>-1.87107609817923</v>
      </c>
      <c r="H554" s="4" t="str">
        <f aca="false">IF(G554&gt;2,"LATE",IF(G554&lt;-13,"EARLY","IN"))</f>
        <v>IN</v>
      </c>
      <c r="I554" s="4" t="n">
        <f aca="false">C554-D554</f>
        <v>17</v>
      </c>
    </row>
    <row r="555" customFormat="false" ht="15" hidden="false" customHeight="false" outlineLevel="0" collapsed="false">
      <c r="A555" s="4" t="n">
        <v>12</v>
      </c>
      <c r="B555" s="4" t="n">
        <v>29</v>
      </c>
      <c r="C555" s="4" t="n">
        <v>228</v>
      </c>
      <c r="D555" s="4" t="n">
        <v>210</v>
      </c>
      <c r="E555" s="6" t="n">
        <v>13.6223509422433</v>
      </c>
      <c r="F555" s="6" t="n">
        <f aca="false">D555+E555</f>
        <v>223.622350942243</v>
      </c>
      <c r="G555" s="6" t="n">
        <f aca="false">F555-C555</f>
        <v>-4.37764905775674</v>
      </c>
      <c r="H555" s="4" t="str">
        <f aca="false">IF(G555&gt;2,"LATE",IF(G555&lt;-13,"EARLY","IN"))</f>
        <v>IN</v>
      </c>
      <c r="I555" s="4" t="n">
        <f aca="false">C555-D555</f>
        <v>18</v>
      </c>
    </row>
    <row r="556" customFormat="false" ht="15" hidden="false" customHeight="false" outlineLevel="0" collapsed="false">
      <c r="A556" s="4" t="n">
        <v>12</v>
      </c>
      <c r="B556" s="4" t="n">
        <v>40</v>
      </c>
      <c r="C556" s="4" t="n">
        <v>187</v>
      </c>
      <c r="D556" s="4" t="n">
        <v>171</v>
      </c>
      <c r="E556" s="6" t="n">
        <v>13.8799402746187</v>
      </c>
      <c r="F556" s="6" t="n">
        <f aca="false">D556+E556</f>
        <v>184.879940274619</v>
      </c>
      <c r="G556" s="6" t="n">
        <f aca="false">F556-C556</f>
        <v>-2.12005972538131</v>
      </c>
      <c r="H556" s="4" t="str">
        <f aca="false">IF(G556&gt;2,"LATE",IF(G556&lt;-13,"EARLY","IN"))</f>
        <v>IN</v>
      </c>
      <c r="I556" s="4" t="n">
        <f aca="false">C556-D556</f>
        <v>16</v>
      </c>
    </row>
    <row r="557" customFormat="false" ht="15" hidden="false" customHeight="false" outlineLevel="0" collapsed="false">
      <c r="A557" s="4" t="n">
        <v>12</v>
      </c>
      <c r="B557" s="4" t="n">
        <v>42</v>
      </c>
      <c r="C557" s="4" t="n">
        <v>241</v>
      </c>
      <c r="D557" s="4" t="n">
        <v>220</v>
      </c>
      <c r="E557" s="6" t="n">
        <v>17.8430412797217</v>
      </c>
      <c r="F557" s="6" t="n">
        <f aca="false">D557+E557</f>
        <v>237.843041279722</v>
      </c>
      <c r="G557" s="6" t="n">
        <f aca="false">F557-C557</f>
        <v>-3.15695872027828</v>
      </c>
      <c r="H557" s="4" t="str">
        <f aca="false">IF(G557&gt;2,"LATE",IF(G557&lt;-13,"EARLY","IN"))</f>
        <v>IN</v>
      </c>
      <c r="I557" s="4" t="n">
        <f aca="false">C557-D557</f>
        <v>21</v>
      </c>
    </row>
    <row r="558" customFormat="false" ht="15" hidden="false" customHeight="false" outlineLevel="0" collapsed="false">
      <c r="A558" s="4" t="n">
        <v>12</v>
      </c>
      <c r="B558" s="4" t="n">
        <v>43</v>
      </c>
      <c r="C558" s="4" t="n">
        <v>209</v>
      </c>
      <c r="D558" s="4" t="n">
        <v>193</v>
      </c>
      <c r="E558" s="6" t="n">
        <v>15.529295535525</v>
      </c>
      <c r="F558" s="6" t="n">
        <f aca="false">D558+E558</f>
        <v>208.529295535525</v>
      </c>
      <c r="G558" s="6" t="n">
        <f aca="false">F558-C558</f>
        <v>-0.470704464474949</v>
      </c>
      <c r="H558" s="4" t="str">
        <f aca="false">IF(G558&gt;2,"LATE",IF(G558&lt;-13,"EARLY","IN"))</f>
        <v>IN</v>
      </c>
      <c r="I558" s="4" t="n">
        <f aca="false">C558-D558</f>
        <v>16</v>
      </c>
    </row>
    <row r="559" customFormat="false" ht="15" hidden="false" customHeight="false" outlineLevel="0" collapsed="false">
      <c r="A559" s="4" t="n">
        <v>12</v>
      </c>
      <c r="B559" s="4" t="n">
        <v>51</v>
      </c>
      <c r="C559" s="4" t="n">
        <v>182</v>
      </c>
      <c r="D559" s="4" t="n">
        <v>165</v>
      </c>
      <c r="E559" s="6" t="n">
        <v>18.4079852793523</v>
      </c>
      <c r="F559" s="6" t="n">
        <f aca="false">D559+E559</f>
        <v>183.407985279352</v>
      </c>
      <c r="G559" s="6" t="n">
        <f aca="false">F559-C559</f>
        <v>1.40798527935229</v>
      </c>
      <c r="H559" s="4" t="str">
        <f aca="false">IF(G559&gt;2,"LATE",IF(G559&lt;-13,"EARLY","IN"))</f>
        <v>IN</v>
      </c>
      <c r="I559" s="4" t="n">
        <f aca="false">C559-D559</f>
        <v>17</v>
      </c>
    </row>
    <row r="560" customFormat="false" ht="15" hidden="false" customHeight="false" outlineLevel="0" collapsed="false">
      <c r="A560" s="4" t="n">
        <v>12</v>
      </c>
      <c r="B560" s="4" t="n">
        <v>53</v>
      </c>
      <c r="C560" s="4" t="n">
        <v>259</v>
      </c>
      <c r="D560" s="4" t="n">
        <v>237</v>
      </c>
      <c r="E560" s="6" t="n">
        <v>18.5860034773532</v>
      </c>
      <c r="F560" s="6" t="n">
        <f aca="false">D560+E560</f>
        <v>255.586003477353</v>
      </c>
      <c r="G560" s="6" t="n">
        <f aca="false">F560-C560</f>
        <v>-3.41399652264684</v>
      </c>
      <c r="H560" s="4" t="str">
        <f aca="false">IF(G560&gt;2,"LATE",IF(G560&lt;-13,"EARLY","IN"))</f>
        <v>IN</v>
      </c>
      <c r="I560" s="4" t="n">
        <f aca="false">C560-D560</f>
        <v>22</v>
      </c>
    </row>
    <row r="561" customFormat="false" ht="15" hidden="false" customHeight="false" outlineLevel="0" collapsed="false">
      <c r="A561" s="4" t="n">
        <v>12</v>
      </c>
      <c r="B561" s="4" t="n">
        <v>54</v>
      </c>
      <c r="C561" s="4" t="n">
        <v>249</v>
      </c>
      <c r="D561" s="4" t="n">
        <v>231</v>
      </c>
      <c r="E561" s="6" t="n">
        <v>14.6498856512655</v>
      </c>
      <c r="F561" s="6" t="n">
        <f aca="false">D561+E561</f>
        <v>245.649885651266</v>
      </c>
      <c r="G561" s="6" t="n">
        <f aca="false">F561-C561</f>
        <v>-3.35011434873445</v>
      </c>
      <c r="H561" s="4" t="str">
        <f aca="false">IF(G561&gt;2,"LATE",IF(G561&lt;-13,"EARLY","IN"))</f>
        <v>IN</v>
      </c>
      <c r="I561" s="4" t="n">
        <f aca="false">C561-D561</f>
        <v>18</v>
      </c>
    </row>
    <row r="562" customFormat="false" ht="15" hidden="false" customHeight="false" outlineLevel="0" collapsed="false">
      <c r="A562" s="4" t="n">
        <v>12</v>
      </c>
      <c r="B562" s="4" t="n">
        <v>63</v>
      </c>
      <c r="C562" s="4" t="n">
        <v>254</v>
      </c>
      <c r="D562" s="4" t="n">
        <v>237</v>
      </c>
      <c r="E562" s="6" t="n">
        <v>13.2274976942109</v>
      </c>
      <c r="F562" s="6" t="n">
        <f aca="false">D562+E562</f>
        <v>250.227497694211</v>
      </c>
      <c r="G562" s="6" t="n">
        <f aca="false">F562-C562</f>
        <v>-3.77250230578909</v>
      </c>
      <c r="H562" s="4" t="str">
        <f aca="false">IF(G562&gt;2,"LATE",IF(G562&lt;-13,"EARLY","IN"))</f>
        <v>IN</v>
      </c>
      <c r="I562" s="4" t="n">
        <f aca="false">C562-D562</f>
        <v>17</v>
      </c>
    </row>
    <row r="563" customFormat="false" ht="15" hidden="false" customHeight="false" outlineLevel="0" collapsed="false">
      <c r="A563" s="4" t="n">
        <v>12</v>
      </c>
      <c r="B563" s="4" t="n">
        <v>64</v>
      </c>
      <c r="C563" s="4" t="n">
        <v>154</v>
      </c>
      <c r="D563" s="4" t="n">
        <v>139</v>
      </c>
      <c r="E563" s="6" t="n">
        <v>13.9941248378652</v>
      </c>
      <c r="F563" s="6" t="n">
        <f aca="false">D563+E563</f>
        <v>152.994124837865</v>
      </c>
      <c r="G563" s="6" t="n">
        <f aca="false">F563-C563</f>
        <v>-1.0058751621348</v>
      </c>
      <c r="H563" s="4" t="str">
        <f aca="false">IF(G563&gt;2,"LATE",IF(G563&lt;-13,"EARLY","IN"))</f>
        <v>IN</v>
      </c>
      <c r="I563" s="4" t="n">
        <f aca="false">C563-D563</f>
        <v>15</v>
      </c>
    </row>
    <row r="564" customFormat="false" ht="15" hidden="false" customHeight="false" outlineLevel="0" collapsed="false">
      <c r="A564" s="4" t="n">
        <v>12</v>
      </c>
      <c r="B564" s="4" t="n">
        <v>67</v>
      </c>
      <c r="C564" s="4" t="n">
        <v>145</v>
      </c>
      <c r="D564" s="4" t="n">
        <v>127</v>
      </c>
      <c r="E564" s="6" t="n">
        <v>16.5709061229806</v>
      </c>
      <c r="F564" s="6" t="n">
        <f aca="false">D564+E564</f>
        <v>143.570906122981</v>
      </c>
      <c r="G564" s="6" t="n">
        <f aca="false">F564-C564</f>
        <v>-1.42909387701943</v>
      </c>
      <c r="H564" s="4" t="str">
        <f aca="false">IF(G564&gt;2,"LATE",IF(G564&lt;-13,"EARLY","IN"))</f>
        <v>IN</v>
      </c>
      <c r="I564" s="4" t="n">
        <f aca="false">C564-D564</f>
        <v>18</v>
      </c>
    </row>
    <row r="565" customFormat="false" ht="15" hidden="false" customHeight="false" outlineLevel="0" collapsed="false">
      <c r="A565" s="4" t="n">
        <v>12</v>
      </c>
      <c r="B565" s="4" t="n">
        <v>69</v>
      </c>
      <c r="C565" s="4" t="n">
        <v>170</v>
      </c>
      <c r="D565" s="4" t="n">
        <v>157</v>
      </c>
      <c r="E565" s="6" t="n">
        <v>9.75808830340303</v>
      </c>
      <c r="F565" s="6" t="n">
        <f aca="false">D565+E565</f>
        <v>166.758088303403</v>
      </c>
      <c r="G565" s="6" t="n">
        <f aca="false">F565-C565</f>
        <v>-3.24191169659696</v>
      </c>
      <c r="H565" s="4" t="str">
        <f aca="false">IF(G565&gt;2,"LATE",IF(G565&lt;-13,"EARLY","IN"))</f>
        <v>IN</v>
      </c>
      <c r="I565" s="4" t="n">
        <f aca="false">C565-D565</f>
        <v>13</v>
      </c>
    </row>
    <row r="566" customFormat="false" ht="15" hidden="false" customHeight="false" outlineLevel="0" collapsed="false">
      <c r="A566" s="4" t="n">
        <v>12</v>
      </c>
      <c r="B566" s="4" t="n">
        <v>72</v>
      </c>
      <c r="C566" s="4" t="n">
        <v>235</v>
      </c>
      <c r="D566" s="4" t="n">
        <v>207</v>
      </c>
      <c r="E566" s="6" t="n">
        <v>15.6134894804833</v>
      </c>
      <c r="F566" s="6" t="n">
        <f aca="false">D566+E566</f>
        <v>222.613489480483</v>
      </c>
      <c r="G566" s="6" t="n">
        <f aca="false">F566-C566</f>
        <v>-12.3865105195167</v>
      </c>
      <c r="H566" s="4" t="str">
        <f aca="false">IF(G566&gt;2,"LATE",IF(G566&lt;-13,"EARLY","IN"))</f>
        <v>IN</v>
      </c>
      <c r="I566" s="4" t="n">
        <f aca="false">C566-D566</f>
        <v>28</v>
      </c>
    </row>
    <row r="567" customFormat="false" ht="15" hidden="false" customHeight="false" outlineLevel="0" collapsed="false">
      <c r="A567" s="4" t="n">
        <v>12</v>
      </c>
      <c r="B567" s="4" t="n">
        <v>76</v>
      </c>
      <c r="C567" s="4" t="n">
        <v>128</v>
      </c>
      <c r="D567" s="4" t="n">
        <v>116</v>
      </c>
      <c r="E567" s="6" t="n">
        <v>12.4557203537123</v>
      </c>
      <c r="F567" s="6" t="n">
        <f aca="false">D567+E567</f>
        <v>128.455720353712</v>
      </c>
      <c r="G567" s="6" t="n">
        <f aca="false">F567-C567</f>
        <v>0.455720353712252</v>
      </c>
      <c r="H567" s="4" t="str">
        <f aca="false">IF(G567&gt;2,"LATE",IF(G567&lt;-13,"EARLY","IN"))</f>
        <v>IN</v>
      </c>
      <c r="I567" s="4" t="n">
        <f aca="false">C567-D567</f>
        <v>12</v>
      </c>
    </row>
    <row r="568" customFormat="false" ht="15" hidden="false" customHeight="false" outlineLevel="0" collapsed="false">
      <c r="A568" s="4" t="n">
        <v>12</v>
      </c>
      <c r="B568" s="4" t="n">
        <v>83</v>
      </c>
      <c r="C568" s="4" t="n">
        <v>231</v>
      </c>
      <c r="D568" s="4" t="n">
        <v>214</v>
      </c>
      <c r="E568" s="6" t="n">
        <v>9.92502496863254</v>
      </c>
      <c r="F568" s="6" t="n">
        <f aca="false">D568+E568</f>
        <v>223.925024968633</v>
      </c>
      <c r="G568" s="6" t="n">
        <f aca="false">F568-C568</f>
        <v>-7.07497503136744</v>
      </c>
      <c r="H568" s="4" t="str">
        <f aca="false">IF(G568&gt;2,"LATE",IF(G568&lt;-13,"EARLY","IN"))</f>
        <v>IN</v>
      </c>
      <c r="I568" s="4" t="n">
        <f aca="false">C568-D568</f>
        <v>17</v>
      </c>
    </row>
    <row r="569" customFormat="false" ht="15" hidden="false" customHeight="false" outlineLevel="0" collapsed="false">
      <c r="A569" s="4" t="n">
        <v>12</v>
      </c>
      <c r="B569" s="4" t="n">
        <v>84</v>
      </c>
      <c r="C569" s="4" t="n">
        <v>206</v>
      </c>
      <c r="D569" s="4" t="n">
        <v>185</v>
      </c>
      <c r="E569" s="6" t="n">
        <v>16.7578464496999</v>
      </c>
      <c r="F569" s="6" t="n">
        <f aca="false">D569+E569</f>
        <v>201.7578464497</v>
      </c>
      <c r="G569" s="6" t="n">
        <f aca="false">F569-C569</f>
        <v>-4.24215355030006</v>
      </c>
      <c r="H569" s="4" t="str">
        <f aca="false">IF(G569&gt;2,"LATE",IF(G569&lt;-13,"EARLY","IN"))</f>
        <v>IN</v>
      </c>
      <c r="I569" s="4" t="n">
        <f aca="false">C569-D569</f>
        <v>21</v>
      </c>
    </row>
    <row r="570" customFormat="false" ht="15" hidden="false" customHeight="false" outlineLevel="0" collapsed="false">
      <c r="A570" s="4" t="n">
        <v>12</v>
      </c>
      <c r="B570" s="4" t="n">
        <v>86</v>
      </c>
      <c r="C570" s="4" t="n">
        <v>205</v>
      </c>
      <c r="D570" s="4" t="n">
        <v>187</v>
      </c>
      <c r="E570" s="6" t="n">
        <v>12.3764176194156</v>
      </c>
      <c r="F570" s="6" t="n">
        <f aca="false">D570+E570</f>
        <v>199.376417619416</v>
      </c>
      <c r="G570" s="6" t="n">
        <f aca="false">F570-C570</f>
        <v>-5.62358238058437</v>
      </c>
      <c r="H570" s="4" t="str">
        <f aca="false">IF(G570&gt;2,"LATE",IF(G570&lt;-13,"EARLY","IN"))</f>
        <v>IN</v>
      </c>
      <c r="I570" s="4" t="n">
        <f aca="false">C570-D570</f>
        <v>18</v>
      </c>
    </row>
    <row r="571" customFormat="false" ht="15" hidden="false" customHeight="false" outlineLevel="0" collapsed="false">
      <c r="A571" s="4" t="n">
        <v>12</v>
      </c>
      <c r="B571" s="4" t="n">
        <v>88</v>
      </c>
      <c r="C571" s="4" t="n">
        <v>134</v>
      </c>
      <c r="D571" s="4" t="n">
        <v>122</v>
      </c>
      <c r="E571" s="6" t="n">
        <v>15.6491974122713</v>
      </c>
      <c r="F571" s="6" t="n">
        <f aca="false">D571+E571</f>
        <v>137.649197412271</v>
      </c>
      <c r="G571" s="6" t="n">
        <f aca="false">F571-C571</f>
        <v>3.64919741227129</v>
      </c>
      <c r="H571" s="4" t="str">
        <f aca="false">IF(G571&gt;2,"LATE",IF(G571&lt;-13,"EARLY","IN"))</f>
        <v>LATE</v>
      </c>
      <c r="I571" s="4" t="n">
        <f aca="false">C571-D571</f>
        <v>12</v>
      </c>
    </row>
    <row r="572" customFormat="false" ht="15" hidden="false" customHeight="false" outlineLevel="0" collapsed="false">
      <c r="A572" s="4" t="n">
        <v>12</v>
      </c>
      <c r="B572" s="4" t="n">
        <v>91</v>
      </c>
      <c r="C572" s="4" t="n">
        <v>199</v>
      </c>
      <c r="D572" s="4" t="n">
        <v>179</v>
      </c>
      <c r="E572" s="6" t="n">
        <v>17.6753490301207</v>
      </c>
      <c r="F572" s="6" t="n">
        <f aca="false">D572+E572</f>
        <v>196.675349030121</v>
      </c>
      <c r="G572" s="6" t="n">
        <f aca="false">F572-C572</f>
        <v>-2.32465096987934</v>
      </c>
      <c r="H572" s="4" t="str">
        <f aca="false">IF(G572&gt;2,"LATE",IF(G572&lt;-13,"EARLY","IN"))</f>
        <v>IN</v>
      </c>
      <c r="I572" s="4" t="n">
        <f aca="false">C572-D572</f>
        <v>20</v>
      </c>
    </row>
    <row r="573" customFormat="false" ht="15" hidden="false" customHeight="false" outlineLevel="0" collapsed="false">
      <c r="A573" s="4" t="n">
        <v>12</v>
      </c>
      <c r="B573" s="4" t="n">
        <v>98</v>
      </c>
      <c r="C573" s="4" t="n">
        <v>206</v>
      </c>
      <c r="D573" s="4" t="n">
        <v>193</v>
      </c>
      <c r="E573" s="6" t="n">
        <v>17.9651014035463</v>
      </c>
      <c r="F573" s="6" t="n">
        <f aca="false">D573+E573</f>
        <v>210.965101403546</v>
      </c>
      <c r="G573" s="6" t="n">
        <f aca="false">F573-C573</f>
        <v>4.9651014035463</v>
      </c>
      <c r="H573" s="4" t="str">
        <f aca="false">IF(G573&gt;2,"LATE",IF(G573&lt;-13,"EARLY","IN"))</f>
        <v>LATE</v>
      </c>
      <c r="I573" s="4" t="n">
        <f aca="false">C573-D573</f>
        <v>13</v>
      </c>
    </row>
    <row r="574" customFormat="false" ht="15" hidden="false" customHeight="false" outlineLevel="0" collapsed="false">
      <c r="A574" s="4" t="n">
        <v>12</v>
      </c>
      <c r="B574" s="4" t="n">
        <v>106</v>
      </c>
      <c r="C574" s="4" t="n">
        <v>189</v>
      </c>
      <c r="D574" s="4" t="n">
        <v>172</v>
      </c>
      <c r="E574" s="6" t="n">
        <v>13.6516760296032</v>
      </c>
      <c r="F574" s="6" t="n">
        <f aca="false">D574+E574</f>
        <v>185.651676029603</v>
      </c>
      <c r="G574" s="6" t="n">
        <f aca="false">F574-C574</f>
        <v>-3.34832397039682</v>
      </c>
      <c r="H574" s="4" t="str">
        <f aca="false">IF(G574&gt;2,"LATE",IF(G574&lt;-13,"EARLY","IN"))</f>
        <v>IN</v>
      </c>
      <c r="I574" s="4" t="n">
        <f aca="false">C574-D574</f>
        <v>17</v>
      </c>
    </row>
    <row r="575" customFormat="false" ht="15" hidden="false" customHeight="false" outlineLevel="0" collapsed="false">
      <c r="A575" s="4" t="n">
        <v>12</v>
      </c>
      <c r="B575" s="4" t="n">
        <v>113</v>
      </c>
      <c r="C575" s="4" t="n">
        <v>160</v>
      </c>
      <c r="D575" s="4" t="n">
        <v>139</v>
      </c>
      <c r="E575" s="6" t="n">
        <v>15.7845057758999</v>
      </c>
      <c r="F575" s="6" t="n">
        <f aca="false">D575+E575</f>
        <v>154.7845057759</v>
      </c>
      <c r="G575" s="6" t="n">
        <f aca="false">F575-C575</f>
        <v>-5.21549422410007</v>
      </c>
      <c r="H575" s="4" t="str">
        <f aca="false">IF(G575&gt;2,"LATE",IF(G575&lt;-13,"EARLY","IN"))</f>
        <v>IN</v>
      </c>
      <c r="I575" s="4" t="n">
        <f aca="false">C575-D575</f>
        <v>21</v>
      </c>
    </row>
    <row r="576" customFormat="false" ht="15" hidden="false" customHeight="false" outlineLevel="0" collapsed="false">
      <c r="A576" s="4" t="n">
        <v>12</v>
      </c>
      <c r="B576" s="4" t="n">
        <v>117</v>
      </c>
      <c r="C576" s="4" t="n">
        <v>212</v>
      </c>
      <c r="D576" s="4" t="n">
        <v>196</v>
      </c>
      <c r="E576" s="6" t="n">
        <v>10.2306429397089</v>
      </c>
      <c r="F576" s="6" t="n">
        <f aca="false">D576+E576</f>
        <v>206.230642939709</v>
      </c>
      <c r="G576" s="6" t="n">
        <f aca="false">F576-C576</f>
        <v>-5.76935706029113</v>
      </c>
      <c r="H576" s="4" t="str">
        <f aca="false">IF(G576&gt;2,"LATE",IF(G576&lt;-13,"EARLY","IN"))</f>
        <v>IN</v>
      </c>
      <c r="I576" s="4" t="n">
        <f aca="false">C576-D576</f>
        <v>16</v>
      </c>
    </row>
    <row r="577" customFormat="false" ht="15" hidden="false" customHeight="false" outlineLevel="0" collapsed="false">
      <c r="A577" s="4" t="n">
        <v>12</v>
      </c>
      <c r="B577" s="4" t="n">
        <v>120</v>
      </c>
      <c r="C577" s="4" t="n">
        <v>170</v>
      </c>
      <c r="D577" s="4" t="n">
        <v>150</v>
      </c>
      <c r="E577" s="6" t="n">
        <v>15.6192462931235</v>
      </c>
      <c r="F577" s="6" t="n">
        <f aca="false">D577+E577</f>
        <v>165.619246293124</v>
      </c>
      <c r="G577" s="6" t="n">
        <f aca="false">F577-C577</f>
        <v>-4.3807537068765</v>
      </c>
      <c r="H577" s="4" t="str">
        <f aca="false">IF(G577&gt;2,"LATE",IF(G577&lt;-13,"EARLY","IN"))</f>
        <v>IN</v>
      </c>
      <c r="I577" s="4" t="n">
        <f aca="false">C577-D577</f>
        <v>20</v>
      </c>
    </row>
    <row r="578" customFormat="false" ht="15" hidden="false" customHeight="false" outlineLevel="0" collapsed="false">
      <c r="A578" s="4" t="n">
        <v>12</v>
      </c>
      <c r="B578" s="4" t="n">
        <v>126</v>
      </c>
      <c r="C578" s="4" t="n">
        <v>241</v>
      </c>
      <c r="D578" s="4" t="n">
        <v>229</v>
      </c>
      <c r="E578" s="6" t="n">
        <v>7.77730054332961</v>
      </c>
      <c r="F578" s="6" t="n">
        <f aca="false">D578+E578</f>
        <v>236.77730054333</v>
      </c>
      <c r="G578" s="6" t="n">
        <f aca="false">F578-C578</f>
        <v>-4.2226994566704</v>
      </c>
      <c r="H578" s="4" t="str">
        <f aca="false">IF(G578&gt;2,"LATE",IF(G578&lt;-13,"EARLY","IN"))</f>
        <v>IN</v>
      </c>
      <c r="I578" s="4" t="n">
        <f aca="false">C578-D578</f>
        <v>12</v>
      </c>
    </row>
    <row r="579" customFormat="false" ht="15" hidden="false" customHeight="false" outlineLevel="0" collapsed="false">
      <c r="A579" s="4" t="n">
        <v>12</v>
      </c>
      <c r="B579" s="4" t="n">
        <v>129</v>
      </c>
      <c r="C579" s="4" t="n">
        <v>147</v>
      </c>
      <c r="D579" s="4" t="n">
        <v>131</v>
      </c>
      <c r="E579" s="6" t="n">
        <v>14.5354741707918</v>
      </c>
      <c r="F579" s="6" t="n">
        <f aca="false">D579+E579</f>
        <v>145.535474170792</v>
      </c>
      <c r="G579" s="6" t="n">
        <f aca="false">F579-C579</f>
        <v>-1.46452582920824</v>
      </c>
      <c r="H579" s="4" t="str">
        <f aca="false">IF(G579&gt;2,"LATE",IF(G579&lt;-13,"EARLY","IN"))</f>
        <v>IN</v>
      </c>
      <c r="I579" s="4" t="n">
        <f aca="false">C579-D579</f>
        <v>16</v>
      </c>
    </row>
    <row r="580" customFormat="false" ht="15" hidden="false" customHeight="false" outlineLevel="0" collapsed="false">
      <c r="A580" s="4" t="n">
        <v>12</v>
      </c>
      <c r="B580" s="4" t="n">
        <v>132</v>
      </c>
      <c r="C580" s="4" t="n">
        <v>199</v>
      </c>
      <c r="D580" s="4" t="n">
        <v>188</v>
      </c>
      <c r="E580" s="6" t="n">
        <v>10.4890694988723</v>
      </c>
      <c r="F580" s="6" t="n">
        <f aca="false">D580+E580</f>
        <v>198.489069498872</v>
      </c>
      <c r="G580" s="6" t="n">
        <f aca="false">F580-C580</f>
        <v>-0.510930501127746</v>
      </c>
      <c r="H580" s="4" t="str">
        <f aca="false">IF(G580&gt;2,"LATE",IF(G580&lt;-13,"EARLY","IN"))</f>
        <v>IN</v>
      </c>
      <c r="I580" s="4" t="n">
        <f aca="false">C580-D580</f>
        <v>11</v>
      </c>
    </row>
    <row r="581" customFormat="false" ht="15" hidden="false" customHeight="false" outlineLevel="0" collapsed="false">
      <c r="A581" s="4" t="n">
        <v>12</v>
      </c>
      <c r="B581" s="4" t="n">
        <v>135</v>
      </c>
      <c r="C581" s="4" t="n">
        <v>188</v>
      </c>
      <c r="D581" s="4" t="n">
        <v>171</v>
      </c>
      <c r="E581" s="6" t="n">
        <v>19.155549614947</v>
      </c>
      <c r="F581" s="6" t="n">
        <f aca="false">D581+E581</f>
        <v>190.155549614947</v>
      </c>
      <c r="G581" s="6" t="n">
        <f aca="false">F581-C581</f>
        <v>2.15554961494701</v>
      </c>
      <c r="H581" s="4" t="str">
        <f aca="false">IF(G581&gt;2,"LATE",IF(G581&lt;-13,"EARLY","IN"))</f>
        <v>LATE</v>
      </c>
      <c r="I581" s="4" t="n">
        <f aca="false">C581-D581</f>
        <v>17</v>
      </c>
    </row>
    <row r="582" customFormat="false" ht="15" hidden="false" customHeight="false" outlineLevel="0" collapsed="false">
      <c r="A582" s="4" t="n">
        <v>12</v>
      </c>
      <c r="B582" s="4" t="n">
        <v>140</v>
      </c>
      <c r="C582" s="4" t="n">
        <v>210</v>
      </c>
      <c r="D582" s="4" t="n">
        <v>193</v>
      </c>
      <c r="E582" s="6" t="n">
        <v>10.78584014953</v>
      </c>
      <c r="F582" s="6" t="n">
        <f aca="false">D582+E582</f>
        <v>203.78584014953</v>
      </c>
      <c r="G582" s="6" t="n">
        <f aca="false">F582-C582</f>
        <v>-6.21415985046997</v>
      </c>
      <c r="H582" s="4" t="str">
        <f aca="false">IF(G582&gt;2,"LATE",IF(G582&lt;-13,"EARLY","IN"))</f>
        <v>IN</v>
      </c>
      <c r="I582" s="4" t="n">
        <f aca="false">C582-D582</f>
        <v>17</v>
      </c>
    </row>
    <row r="583" customFormat="false" ht="15" hidden="false" customHeight="false" outlineLevel="0" collapsed="false">
      <c r="A583" s="4" t="n">
        <v>12</v>
      </c>
      <c r="B583" s="4" t="n">
        <v>146</v>
      </c>
      <c r="C583" s="4" t="n">
        <v>231</v>
      </c>
      <c r="D583" s="4" t="n">
        <v>215</v>
      </c>
      <c r="E583" s="6" t="n">
        <v>12.3716883203699</v>
      </c>
      <c r="F583" s="6" t="n">
        <f aca="false">D583+E583</f>
        <v>227.37168832037</v>
      </c>
      <c r="G583" s="6" t="n">
        <f aca="false">F583-C583</f>
        <v>-3.62831167963014</v>
      </c>
      <c r="H583" s="4" t="str">
        <f aca="false">IF(G583&gt;2,"LATE",IF(G583&lt;-13,"EARLY","IN"))</f>
        <v>IN</v>
      </c>
      <c r="I583" s="4" t="n">
        <f aca="false">C583-D583</f>
        <v>16</v>
      </c>
    </row>
    <row r="584" customFormat="false" ht="15" hidden="false" customHeight="false" outlineLevel="0" collapsed="false">
      <c r="A584" s="4" t="n">
        <v>12</v>
      </c>
      <c r="B584" s="4" t="n">
        <v>150</v>
      </c>
      <c r="C584" s="4" t="n">
        <v>175</v>
      </c>
      <c r="D584" s="4" t="n">
        <v>158</v>
      </c>
      <c r="E584" s="6" t="n">
        <v>15.1776785969612</v>
      </c>
      <c r="F584" s="6" t="n">
        <f aca="false">D584+E584</f>
        <v>173.177678596961</v>
      </c>
      <c r="G584" s="6" t="n">
        <f aca="false">F584-C584</f>
        <v>-1.82232140303884</v>
      </c>
      <c r="H584" s="4" t="str">
        <f aca="false">IF(G584&gt;2,"LATE",IF(G584&lt;-13,"EARLY","IN"))</f>
        <v>IN</v>
      </c>
      <c r="I584" s="4" t="n">
        <f aca="false">C584-D584</f>
        <v>17</v>
      </c>
    </row>
    <row r="585" customFormat="false" ht="15" hidden="false" customHeight="false" outlineLevel="0" collapsed="false">
      <c r="A585" s="4" t="n">
        <v>12</v>
      </c>
      <c r="B585" s="4" t="n">
        <v>152</v>
      </c>
      <c r="C585" s="4" t="n">
        <v>213</v>
      </c>
      <c r="D585" s="4" t="n">
        <v>189</v>
      </c>
      <c r="E585" s="6" t="n">
        <v>17.6361459453773</v>
      </c>
      <c r="F585" s="6" t="n">
        <f aca="false">D585+E585</f>
        <v>206.636145945377</v>
      </c>
      <c r="G585" s="6" t="n">
        <f aca="false">F585-C585</f>
        <v>-6.36385405462266</v>
      </c>
      <c r="H585" s="4" t="str">
        <f aca="false">IF(G585&gt;2,"LATE",IF(G585&lt;-13,"EARLY","IN"))</f>
        <v>IN</v>
      </c>
      <c r="I585" s="4" t="n">
        <f aca="false">C585-D585</f>
        <v>24</v>
      </c>
    </row>
    <row r="586" customFormat="false" ht="15" hidden="false" customHeight="false" outlineLevel="0" collapsed="false">
      <c r="A586" s="4" t="n">
        <v>12</v>
      </c>
      <c r="B586" s="4" t="n">
        <v>161</v>
      </c>
      <c r="C586" s="4" t="n">
        <v>184</v>
      </c>
      <c r="D586" s="4" t="n">
        <v>168</v>
      </c>
      <c r="E586" s="6" t="n">
        <v>11.3034068287697</v>
      </c>
      <c r="F586" s="6" t="n">
        <f aca="false">D586+E586</f>
        <v>179.30340682877</v>
      </c>
      <c r="G586" s="6" t="n">
        <f aca="false">F586-C586</f>
        <v>-4.69659317123029</v>
      </c>
      <c r="H586" s="4" t="str">
        <f aca="false">IF(G586&gt;2,"LATE",IF(G586&lt;-13,"EARLY","IN"))</f>
        <v>IN</v>
      </c>
      <c r="I586" s="4" t="n">
        <f aca="false">C586-D586</f>
        <v>16</v>
      </c>
    </row>
    <row r="587" customFormat="false" ht="15" hidden="false" customHeight="false" outlineLevel="0" collapsed="false">
      <c r="A587" s="4" t="n">
        <v>12</v>
      </c>
      <c r="B587" s="4" t="n">
        <v>164</v>
      </c>
      <c r="C587" s="4" t="n">
        <v>211</v>
      </c>
      <c r="D587" s="4" t="n">
        <v>192</v>
      </c>
      <c r="E587" s="6" t="n">
        <v>15.7257573963829</v>
      </c>
      <c r="F587" s="6" t="n">
        <f aca="false">D587+E587</f>
        <v>207.725757396383</v>
      </c>
      <c r="G587" s="6" t="n">
        <f aca="false">F587-C587</f>
        <v>-3.2742426036171</v>
      </c>
      <c r="H587" s="4" t="str">
        <f aca="false">IF(G587&gt;2,"LATE",IF(G587&lt;-13,"EARLY","IN"))</f>
        <v>IN</v>
      </c>
      <c r="I587" s="4" t="n">
        <f aca="false">C587-D587</f>
        <v>19</v>
      </c>
    </row>
    <row r="588" customFormat="false" ht="15" hidden="false" customHeight="false" outlineLevel="0" collapsed="false">
      <c r="A588" s="4" t="n">
        <v>12</v>
      </c>
      <c r="B588" s="4" t="n">
        <v>165</v>
      </c>
      <c r="C588" s="4" t="n">
        <v>160</v>
      </c>
      <c r="D588" s="4" t="n">
        <v>145</v>
      </c>
      <c r="E588" s="6" t="n">
        <v>15.6322932280741</v>
      </c>
      <c r="F588" s="6" t="n">
        <f aca="false">D588+E588</f>
        <v>160.632293228074</v>
      </c>
      <c r="G588" s="6" t="n">
        <f aca="false">F588-C588</f>
        <v>0.632293228074133</v>
      </c>
      <c r="H588" s="4" t="str">
        <f aca="false">IF(G588&gt;2,"LATE",IF(G588&lt;-13,"EARLY","IN"))</f>
        <v>IN</v>
      </c>
      <c r="I588" s="4" t="n">
        <f aca="false">C588-D588</f>
        <v>15</v>
      </c>
    </row>
    <row r="589" customFormat="false" ht="15" hidden="false" customHeight="false" outlineLevel="0" collapsed="false">
      <c r="A589" s="4" t="n">
        <v>12</v>
      </c>
      <c r="B589" s="4" t="n">
        <v>167</v>
      </c>
      <c r="C589" s="4" t="n">
        <v>177</v>
      </c>
      <c r="D589" s="4" t="n">
        <v>156</v>
      </c>
      <c r="E589" s="6" t="n">
        <v>16.7719990199925</v>
      </c>
      <c r="F589" s="6" t="n">
        <f aca="false">D589+E589</f>
        <v>172.771999019992</v>
      </c>
      <c r="G589" s="6" t="n">
        <f aca="false">F589-C589</f>
        <v>-4.22800098000752</v>
      </c>
      <c r="H589" s="4" t="str">
        <f aca="false">IF(G589&gt;2,"LATE",IF(G589&lt;-13,"EARLY","IN"))</f>
        <v>IN</v>
      </c>
      <c r="I589" s="4" t="n">
        <f aca="false">C589-D589</f>
        <v>21</v>
      </c>
    </row>
    <row r="590" customFormat="false" ht="15" hidden="false" customHeight="false" outlineLevel="0" collapsed="false">
      <c r="A590" s="4" t="n">
        <v>12</v>
      </c>
      <c r="B590" s="4" t="n">
        <v>176</v>
      </c>
      <c r="C590" s="4" t="n">
        <v>197</v>
      </c>
      <c r="D590" s="4" t="n">
        <v>172</v>
      </c>
      <c r="E590" s="6" t="n">
        <v>15.2658936238992</v>
      </c>
      <c r="F590" s="6" t="n">
        <f aca="false">D590+E590</f>
        <v>187.265893623899</v>
      </c>
      <c r="G590" s="6" t="n">
        <f aca="false">F590-C590</f>
        <v>-9.73410637610078</v>
      </c>
      <c r="H590" s="4" t="str">
        <f aca="false">IF(G590&gt;2,"LATE",IF(G590&lt;-13,"EARLY","IN"))</f>
        <v>IN</v>
      </c>
      <c r="I590" s="4" t="n">
        <f aca="false">C590-D590</f>
        <v>25</v>
      </c>
    </row>
    <row r="591" customFormat="false" ht="15" hidden="false" customHeight="false" outlineLevel="0" collapsed="false">
      <c r="A591" s="4" t="n">
        <v>12</v>
      </c>
      <c r="B591" s="4" t="n">
        <v>177</v>
      </c>
      <c r="C591" s="4" t="n">
        <v>218</v>
      </c>
      <c r="D591" s="4" t="n">
        <v>202</v>
      </c>
      <c r="E591" s="6" t="n">
        <v>12.6015240494013</v>
      </c>
      <c r="F591" s="6" t="n">
        <f aca="false">D591+E591</f>
        <v>214.601524049401</v>
      </c>
      <c r="G591" s="6" t="n">
        <f aca="false">F591-C591</f>
        <v>-3.39847595059865</v>
      </c>
      <c r="H591" s="4" t="str">
        <f aca="false">IF(G591&gt;2,"LATE",IF(G591&lt;-13,"EARLY","IN"))</f>
        <v>IN</v>
      </c>
      <c r="I591" s="4" t="n">
        <f aca="false">C591-D591</f>
        <v>16</v>
      </c>
    </row>
    <row r="592" customFormat="false" ht="15" hidden="false" customHeight="false" outlineLevel="0" collapsed="false">
      <c r="A592" s="4" t="n">
        <v>12</v>
      </c>
      <c r="B592" s="4" t="n">
        <v>185</v>
      </c>
      <c r="C592" s="4" t="n">
        <v>198</v>
      </c>
      <c r="D592" s="4" t="n">
        <v>185</v>
      </c>
      <c r="E592" s="6" t="n">
        <v>12.1415526166748</v>
      </c>
      <c r="F592" s="6" t="n">
        <f aca="false">D592+E592</f>
        <v>197.141552616675</v>
      </c>
      <c r="G592" s="6" t="n">
        <f aca="false">F592-C592</f>
        <v>-0.858447383325228</v>
      </c>
      <c r="H592" s="4" t="str">
        <f aca="false">IF(G592&gt;2,"LATE",IF(G592&lt;-13,"EARLY","IN"))</f>
        <v>IN</v>
      </c>
      <c r="I592" s="4" t="n">
        <f aca="false">C592-D592</f>
        <v>13</v>
      </c>
    </row>
    <row r="593" customFormat="false" ht="15" hidden="false" customHeight="false" outlineLevel="0" collapsed="false">
      <c r="A593" s="4" t="n">
        <v>12</v>
      </c>
      <c r="B593" s="4" t="n">
        <v>186</v>
      </c>
      <c r="C593" s="4" t="n">
        <v>236</v>
      </c>
      <c r="D593" s="4" t="n">
        <v>211</v>
      </c>
      <c r="E593" s="6" t="n">
        <v>12.970861798969</v>
      </c>
      <c r="F593" s="6" t="n">
        <f aca="false">D593+E593</f>
        <v>223.970861798969</v>
      </c>
      <c r="G593" s="6" t="n">
        <f aca="false">F593-C593</f>
        <v>-12.029138201031</v>
      </c>
      <c r="H593" s="4" t="str">
        <f aca="false">IF(G593&gt;2,"LATE",IF(G593&lt;-13,"EARLY","IN"))</f>
        <v>IN</v>
      </c>
      <c r="I593" s="4" t="n">
        <f aca="false">C593-D593</f>
        <v>25</v>
      </c>
    </row>
    <row r="594" customFormat="false" ht="15" hidden="false" customHeight="false" outlineLevel="0" collapsed="false">
      <c r="A594" s="4" t="n">
        <v>12</v>
      </c>
      <c r="B594" s="4" t="n">
        <v>190</v>
      </c>
      <c r="C594" s="4" t="n">
        <v>152</v>
      </c>
      <c r="D594" s="4" t="n">
        <v>133</v>
      </c>
      <c r="E594" s="6" t="n">
        <v>15.1676328114731</v>
      </c>
      <c r="F594" s="6" t="n">
        <f aca="false">D594+E594</f>
        <v>148.167632811473</v>
      </c>
      <c r="G594" s="6" t="n">
        <f aca="false">F594-C594</f>
        <v>-3.83236718852689</v>
      </c>
      <c r="H594" s="4" t="str">
        <f aca="false">IF(G594&gt;2,"LATE",IF(G594&lt;-13,"EARLY","IN"))</f>
        <v>IN</v>
      </c>
      <c r="I594" s="4" t="n">
        <f aca="false">C594-D594</f>
        <v>19</v>
      </c>
    </row>
    <row r="595" customFormat="false" ht="15" hidden="false" customHeight="false" outlineLevel="0" collapsed="false">
      <c r="A595" s="4" t="n">
        <v>12</v>
      </c>
      <c r="B595" s="4" t="n">
        <v>195</v>
      </c>
      <c r="C595" s="4" t="n">
        <v>284</v>
      </c>
      <c r="D595" s="4" t="n">
        <v>252</v>
      </c>
      <c r="E595" s="6" t="n">
        <v>17.4536936894481</v>
      </c>
      <c r="F595" s="6" t="n">
        <f aca="false">D595+E595</f>
        <v>269.453693689448</v>
      </c>
      <c r="G595" s="6" t="n">
        <f aca="false">F595-C595</f>
        <v>-14.5463063105519</v>
      </c>
      <c r="H595" s="4" t="str">
        <f aca="false">IF(G595&gt;2,"LATE",IF(G595&lt;-13,"EARLY","IN"))</f>
        <v>EARLY</v>
      </c>
      <c r="I595" s="4" t="n">
        <f aca="false">C595-D595</f>
        <v>32</v>
      </c>
    </row>
    <row r="596" customFormat="false" ht="15" hidden="false" customHeight="false" outlineLevel="0" collapsed="false">
      <c r="A596" s="4" t="n">
        <v>12</v>
      </c>
      <c r="B596" s="4" t="n">
        <v>196</v>
      </c>
      <c r="C596" s="4" t="n">
        <v>226</v>
      </c>
      <c r="D596" s="4" t="n">
        <v>208</v>
      </c>
      <c r="E596" s="6" t="n">
        <v>14.7163786128397</v>
      </c>
      <c r="F596" s="6" t="n">
        <f aca="false">D596+E596</f>
        <v>222.71637861284</v>
      </c>
      <c r="G596" s="6" t="n">
        <f aca="false">F596-C596</f>
        <v>-3.28362138716028</v>
      </c>
      <c r="H596" s="4" t="str">
        <f aca="false">IF(G596&gt;2,"LATE",IF(G596&lt;-13,"EARLY","IN"))</f>
        <v>IN</v>
      </c>
      <c r="I596" s="4" t="n">
        <f aca="false">C596-D596</f>
        <v>18</v>
      </c>
    </row>
    <row r="597" customFormat="false" ht="15" hidden="false" customHeight="false" outlineLevel="0" collapsed="false">
      <c r="A597" s="4" t="n">
        <v>12</v>
      </c>
      <c r="B597" s="4" t="n">
        <v>205</v>
      </c>
      <c r="C597" s="4" t="n">
        <v>135</v>
      </c>
      <c r="D597" s="4" t="n">
        <v>120</v>
      </c>
      <c r="E597" s="6" t="n">
        <v>13.0813455152104</v>
      </c>
      <c r="F597" s="6" t="n">
        <f aca="false">D597+E597</f>
        <v>133.08134551521</v>
      </c>
      <c r="G597" s="6" t="n">
        <f aca="false">F597-C597</f>
        <v>-1.91865448478956</v>
      </c>
      <c r="H597" s="4" t="str">
        <f aca="false">IF(G597&gt;2,"LATE",IF(G597&lt;-13,"EARLY","IN"))</f>
        <v>IN</v>
      </c>
      <c r="I597" s="4" t="n">
        <f aca="false">C597-D597</f>
        <v>15</v>
      </c>
    </row>
    <row r="598" customFormat="false" ht="15" hidden="false" customHeight="false" outlineLevel="0" collapsed="false">
      <c r="A598" s="4" t="n">
        <v>12</v>
      </c>
      <c r="B598" s="4" t="n">
        <v>206</v>
      </c>
      <c r="C598" s="4" t="n">
        <v>155</v>
      </c>
      <c r="D598" s="4" t="n">
        <v>135</v>
      </c>
      <c r="E598" s="6" t="n">
        <v>11.9589316097257</v>
      </c>
      <c r="F598" s="6" t="n">
        <f aca="false">D598+E598</f>
        <v>146.958931609726</v>
      </c>
      <c r="G598" s="6" t="n">
        <f aca="false">F598-C598</f>
        <v>-8.04106839027432</v>
      </c>
      <c r="H598" s="4" t="str">
        <f aca="false">IF(G598&gt;2,"LATE",IF(G598&lt;-13,"EARLY","IN"))</f>
        <v>IN</v>
      </c>
      <c r="I598" s="4" t="n">
        <f aca="false">C598-D598</f>
        <v>20</v>
      </c>
    </row>
    <row r="599" customFormat="false" ht="15" hidden="false" customHeight="false" outlineLevel="0" collapsed="false">
      <c r="A599" s="4" t="n">
        <v>12</v>
      </c>
      <c r="B599" s="4" t="n">
        <v>210</v>
      </c>
      <c r="C599" s="4" t="n">
        <v>233</v>
      </c>
      <c r="D599" s="4" t="n">
        <v>208</v>
      </c>
      <c r="E599" s="6" t="n">
        <v>15.9169628568196</v>
      </c>
      <c r="F599" s="6" t="n">
        <f aca="false">D599+E599</f>
        <v>223.91696285682</v>
      </c>
      <c r="G599" s="6" t="n">
        <f aca="false">F599-C599</f>
        <v>-9.08303714318043</v>
      </c>
      <c r="H599" s="4" t="str">
        <f aca="false">IF(G599&gt;2,"LATE",IF(G599&lt;-13,"EARLY","IN"))</f>
        <v>IN</v>
      </c>
      <c r="I599" s="4" t="n">
        <f aca="false">C599-D599</f>
        <v>25</v>
      </c>
    </row>
    <row r="600" customFormat="false" ht="15" hidden="false" customHeight="false" outlineLevel="0" collapsed="false">
      <c r="A600" s="4" t="n">
        <v>12</v>
      </c>
      <c r="B600" s="4" t="n">
        <v>217</v>
      </c>
      <c r="C600" s="4" t="n">
        <v>287</v>
      </c>
      <c r="D600" s="4" t="n">
        <v>257</v>
      </c>
      <c r="E600" s="6" t="n">
        <v>17.5782207176919</v>
      </c>
      <c r="F600" s="6" t="n">
        <f aca="false">D600+E600</f>
        <v>274.578220717692</v>
      </c>
      <c r="G600" s="6" t="n">
        <f aca="false">F600-C600</f>
        <v>-12.4217792823081</v>
      </c>
      <c r="H600" s="4" t="str">
        <f aca="false">IF(G600&gt;2,"LATE",IF(G600&lt;-13,"EARLY","IN"))</f>
        <v>IN</v>
      </c>
      <c r="I600" s="4" t="n">
        <f aca="false">C600-D600</f>
        <v>30</v>
      </c>
    </row>
    <row r="601" customFormat="false" ht="15" hidden="false" customHeight="false" outlineLevel="0" collapsed="false">
      <c r="A601" s="4" t="n">
        <v>12</v>
      </c>
      <c r="B601" s="4" t="n">
        <v>218</v>
      </c>
      <c r="C601" s="4" t="n">
        <v>133</v>
      </c>
      <c r="D601" s="4" t="n">
        <v>123</v>
      </c>
      <c r="E601" s="6" t="n">
        <v>7.05974641470562</v>
      </c>
      <c r="F601" s="6" t="n">
        <f aca="false">D601+E601</f>
        <v>130.059746414706</v>
      </c>
      <c r="G601" s="6" t="n">
        <f aca="false">F601-C601</f>
        <v>-2.94025358529439</v>
      </c>
      <c r="H601" s="4" t="str">
        <f aca="false">IF(G601&gt;2,"LATE",IF(G601&lt;-13,"EARLY","IN"))</f>
        <v>IN</v>
      </c>
      <c r="I601" s="4" t="n">
        <f aca="false">C601-D601</f>
        <v>10</v>
      </c>
    </row>
    <row r="602" customFormat="false" ht="15" hidden="false" customHeight="false" outlineLevel="0" collapsed="false">
      <c r="A602" s="4" t="n">
        <v>13</v>
      </c>
      <c r="B602" s="4" t="n">
        <v>14</v>
      </c>
      <c r="C602" s="4" t="n">
        <v>147</v>
      </c>
      <c r="D602" s="4" t="n">
        <v>131</v>
      </c>
      <c r="E602" s="6" t="n">
        <v>11.9800646676049</v>
      </c>
      <c r="F602" s="6" t="n">
        <f aca="false">D602+E602</f>
        <v>142.980064667605</v>
      </c>
      <c r="G602" s="6" t="n">
        <f aca="false">F602-C602</f>
        <v>-4.01993533239508</v>
      </c>
      <c r="H602" s="4" t="str">
        <f aca="false">IF(G602&gt;2,"LATE",IF(G602&lt;-13,"EARLY","IN"))</f>
        <v>IN</v>
      </c>
      <c r="I602" s="4" t="n">
        <f aca="false">C602-D602</f>
        <v>16</v>
      </c>
    </row>
    <row r="603" customFormat="false" ht="15" hidden="false" customHeight="false" outlineLevel="0" collapsed="false">
      <c r="A603" s="4" t="n">
        <v>13</v>
      </c>
      <c r="B603" s="4" t="n">
        <v>16</v>
      </c>
      <c r="C603" s="4" t="n">
        <v>172</v>
      </c>
      <c r="D603" s="4" t="n">
        <v>152</v>
      </c>
      <c r="E603" s="6" t="n">
        <v>14.022957531295</v>
      </c>
      <c r="F603" s="6" t="n">
        <f aca="false">D603+E603</f>
        <v>166.022957531295</v>
      </c>
      <c r="G603" s="6" t="n">
        <f aca="false">F603-C603</f>
        <v>-5.97704246870495</v>
      </c>
      <c r="H603" s="4" t="str">
        <f aca="false">IF(G603&gt;2,"LATE",IF(G603&lt;-13,"EARLY","IN"))</f>
        <v>IN</v>
      </c>
      <c r="I603" s="4" t="n">
        <f aca="false">C603-D603</f>
        <v>20</v>
      </c>
    </row>
    <row r="604" customFormat="false" ht="15" hidden="false" customHeight="false" outlineLevel="0" collapsed="false">
      <c r="A604" s="4" t="n">
        <v>13</v>
      </c>
      <c r="B604" s="4" t="n">
        <v>18</v>
      </c>
      <c r="C604" s="4" t="n">
        <v>196</v>
      </c>
      <c r="D604" s="4" t="n">
        <v>178</v>
      </c>
      <c r="E604" s="6" t="n">
        <v>11.7543669009412</v>
      </c>
      <c r="F604" s="6" t="n">
        <f aca="false">D604+E604</f>
        <v>189.754366900941</v>
      </c>
      <c r="G604" s="6" t="n">
        <f aca="false">F604-C604</f>
        <v>-6.24563309905884</v>
      </c>
      <c r="H604" s="4" t="str">
        <f aca="false">IF(G604&gt;2,"LATE",IF(G604&lt;-13,"EARLY","IN"))</f>
        <v>IN</v>
      </c>
      <c r="I604" s="4" t="n">
        <f aca="false">C604-D604</f>
        <v>18</v>
      </c>
    </row>
    <row r="605" customFormat="false" ht="15" hidden="false" customHeight="false" outlineLevel="0" collapsed="false">
      <c r="A605" s="4" t="n">
        <v>13</v>
      </c>
      <c r="B605" s="4" t="n">
        <v>19</v>
      </c>
      <c r="C605" s="4" t="n">
        <v>167</v>
      </c>
      <c r="D605" s="4" t="n">
        <v>145</v>
      </c>
      <c r="E605" s="6" t="n">
        <v>14.014864059297</v>
      </c>
      <c r="F605" s="6" t="n">
        <f aca="false">D605+E605</f>
        <v>159.014864059297</v>
      </c>
      <c r="G605" s="6" t="n">
        <f aca="false">F605-C605</f>
        <v>-7.98513594070306</v>
      </c>
      <c r="H605" s="4" t="str">
        <f aca="false">IF(G605&gt;2,"LATE",IF(G605&lt;-13,"EARLY","IN"))</f>
        <v>IN</v>
      </c>
      <c r="I605" s="4" t="n">
        <f aca="false">C605-D605</f>
        <v>22</v>
      </c>
    </row>
    <row r="606" customFormat="false" ht="15" hidden="false" customHeight="false" outlineLevel="0" collapsed="false">
      <c r="A606" s="4" t="n">
        <v>13</v>
      </c>
      <c r="B606" s="4" t="n">
        <v>25</v>
      </c>
      <c r="C606" s="4" t="n">
        <v>281</v>
      </c>
      <c r="D606" s="4" t="n">
        <v>257</v>
      </c>
      <c r="E606" s="6" t="n">
        <v>15.9954711170347</v>
      </c>
      <c r="F606" s="6" t="n">
        <f aca="false">D606+E606</f>
        <v>272.995471117035</v>
      </c>
      <c r="G606" s="6" t="n">
        <f aca="false">F606-C606</f>
        <v>-8.0045288829653</v>
      </c>
      <c r="H606" s="4" t="str">
        <f aca="false">IF(G606&gt;2,"LATE",IF(G606&lt;-13,"EARLY","IN"))</f>
        <v>IN</v>
      </c>
      <c r="I606" s="4" t="n">
        <f aca="false">C606-D606</f>
        <v>24</v>
      </c>
    </row>
    <row r="607" customFormat="false" ht="15" hidden="false" customHeight="false" outlineLevel="0" collapsed="false">
      <c r="A607" s="4" t="n">
        <v>13</v>
      </c>
      <c r="B607" s="4" t="n">
        <v>28</v>
      </c>
      <c r="C607" s="4" t="n">
        <v>278</v>
      </c>
      <c r="D607" s="4" t="n">
        <v>261</v>
      </c>
      <c r="E607" s="6" t="n">
        <v>14.7143811001526</v>
      </c>
      <c r="F607" s="6" t="n">
        <f aca="false">D607+E607</f>
        <v>275.714381100153</v>
      </c>
      <c r="G607" s="6" t="n">
        <f aca="false">F607-C607</f>
        <v>-2.28561889984746</v>
      </c>
      <c r="H607" s="4" t="str">
        <f aca="false">IF(G607&gt;2,"LATE",IF(G607&lt;-13,"EARLY","IN"))</f>
        <v>IN</v>
      </c>
      <c r="I607" s="4" t="n">
        <f aca="false">C607-D607</f>
        <v>17</v>
      </c>
    </row>
    <row r="608" customFormat="false" ht="15" hidden="false" customHeight="false" outlineLevel="0" collapsed="false">
      <c r="A608" s="4" t="n">
        <v>13</v>
      </c>
      <c r="B608" s="4" t="n">
        <v>35</v>
      </c>
      <c r="C608" s="4" t="n">
        <v>188</v>
      </c>
      <c r="D608" s="4" t="n">
        <v>170</v>
      </c>
      <c r="E608" s="6" t="n">
        <v>13.7933327231086</v>
      </c>
      <c r="F608" s="6" t="n">
        <f aca="false">D608+E608</f>
        <v>183.793332723109</v>
      </c>
      <c r="G608" s="6" t="n">
        <f aca="false">F608-C608</f>
        <v>-4.20666727689144</v>
      </c>
      <c r="H608" s="4" t="str">
        <f aca="false">IF(G608&gt;2,"LATE",IF(G608&lt;-13,"EARLY","IN"))</f>
        <v>IN</v>
      </c>
      <c r="I608" s="4" t="n">
        <f aca="false">C608-D608</f>
        <v>18</v>
      </c>
    </row>
    <row r="609" customFormat="false" ht="15" hidden="false" customHeight="false" outlineLevel="0" collapsed="false">
      <c r="A609" s="4" t="n">
        <v>13</v>
      </c>
      <c r="B609" s="4" t="n">
        <v>43</v>
      </c>
      <c r="C609" s="4" t="n">
        <v>209</v>
      </c>
      <c r="D609" s="4" t="n">
        <v>194</v>
      </c>
      <c r="E609" s="6" t="n">
        <v>15.2342776073936</v>
      </c>
      <c r="F609" s="6" t="n">
        <f aca="false">D609+E609</f>
        <v>209.234277607394</v>
      </c>
      <c r="G609" s="6" t="n">
        <f aca="false">F609-C609</f>
        <v>0.234277607393608</v>
      </c>
      <c r="H609" s="4" t="str">
        <f aca="false">IF(G609&gt;2,"LATE",IF(G609&lt;-13,"EARLY","IN"))</f>
        <v>IN</v>
      </c>
      <c r="I609" s="4" t="n">
        <f aca="false">C609-D609</f>
        <v>15</v>
      </c>
    </row>
    <row r="610" customFormat="false" ht="15" hidden="false" customHeight="false" outlineLevel="0" collapsed="false">
      <c r="A610" s="4" t="n">
        <v>13</v>
      </c>
      <c r="B610" s="4" t="n">
        <v>44</v>
      </c>
      <c r="C610" s="4" t="n">
        <v>233</v>
      </c>
      <c r="D610" s="4" t="n">
        <v>215</v>
      </c>
      <c r="E610" s="6" t="n">
        <v>15.1315444926361</v>
      </c>
      <c r="F610" s="6" t="n">
        <f aca="false">D610+E610</f>
        <v>230.131544492636</v>
      </c>
      <c r="G610" s="6" t="n">
        <f aca="false">F610-C610</f>
        <v>-2.86845550736388</v>
      </c>
      <c r="H610" s="4" t="str">
        <f aca="false">IF(G610&gt;2,"LATE",IF(G610&lt;-13,"EARLY","IN"))</f>
        <v>IN</v>
      </c>
      <c r="I610" s="4" t="n">
        <f aca="false">C610-D610</f>
        <v>18</v>
      </c>
    </row>
    <row r="611" customFormat="false" ht="15" hidden="false" customHeight="false" outlineLevel="0" collapsed="false">
      <c r="A611" s="4" t="n">
        <v>13</v>
      </c>
      <c r="B611" s="4" t="n">
        <v>46</v>
      </c>
      <c r="C611" s="4" t="n">
        <v>277</v>
      </c>
      <c r="D611" s="4" t="n">
        <v>247</v>
      </c>
      <c r="E611" s="6" t="n">
        <v>17.8110954141223</v>
      </c>
      <c r="F611" s="6" t="n">
        <f aca="false">D611+E611</f>
        <v>264.811095414122</v>
      </c>
      <c r="G611" s="6" t="n">
        <f aca="false">F611-C611</f>
        <v>-12.1889045858778</v>
      </c>
      <c r="H611" s="4" t="str">
        <f aca="false">IF(G611&gt;2,"LATE",IF(G611&lt;-13,"EARLY","IN"))</f>
        <v>IN</v>
      </c>
      <c r="I611" s="4" t="n">
        <f aca="false">C611-D611</f>
        <v>30</v>
      </c>
    </row>
    <row r="612" customFormat="false" ht="15" hidden="false" customHeight="false" outlineLevel="0" collapsed="false">
      <c r="A612" s="4" t="n">
        <v>13</v>
      </c>
      <c r="B612" s="4" t="n">
        <v>51</v>
      </c>
      <c r="C612" s="4" t="n">
        <v>182</v>
      </c>
      <c r="D612" s="4" t="n">
        <v>163</v>
      </c>
      <c r="E612" s="6" t="n">
        <v>15.8196143947382</v>
      </c>
      <c r="F612" s="6" t="n">
        <f aca="false">D612+E612</f>
        <v>178.819614394738</v>
      </c>
      <c r="G612" s="6" t="n">
        <f aca="false">F612-C612</f>
        <v>-3.18038560526182</v>
      </c>
      <c r="H612" s="4" t="str">
        <f aca="false">IF(G612&gt;2,"LATE",IF(G612&lt;-13,"EARLY","IN"))</f>
        <v>IN</v>
      </c>
      <c r="I612" s="4" t="n">
        <f aca="false">C612-D612</f>
        <v>19</v>
      </c>
    </row>
    <row r="613" customFormat="false" ht="15" hidden="false" customHeight="false" outlineLevel="0" collapsed="false">
      <c r="A613" s="4" t="n">
        <v>13</v>
      </c>
      <c r="B613" s="4" t="n">
        <v>54</v>
      </c>
      <c r="C613" s="4" t="n">
        <v>249</v>
      </c>
      <c r="D613" s="4" t="n">
        <v>227</v>
      </c>
      <c r="E613" s="6" t="n">
        <v>17.9433854583054</v>
      </c>
      <c r="F613" s="6" t="n">
        <f aca="false">D613+E613</f>
        <v>244.943385458305</v>
      </c>
      <c r="G613" s="6" t="n">
        <f aca="false">F613-C613</f>
        <v>-4.05661454169461</v>
      </c>
      <c r="H613" s="4" t="str">
        <f aca="false">IF(G613&gt;2,"LATE",IF(G613&lt;-13,"EARLY","IN"))</f>
        <v>IN</v>
      </c>
      <c r="I613" s="4" t="n">
        <f aca="false">C613-D613</f>
        <v>22</v>
      </c>
    </row>
    <row r="614" customFormat="false" ht="15" hidden="false" customHeight="false" outlineLevel="0" collapsed="false">
      <c r="A614" s="4" t="n">
        <v>13</v>
      </c>
      <c r="B614" s="4" t="n">
        <v>59</v>
      </c>
      <c r="C614" s="4" t="n">
        <v>169</v>
      </c>
      <c r="D614" s="4" t="n">
        <v>150</v>
      </c>
      <c r="E614" s="6" t="n">
        <v>15.1420063529161</v>
      </c>
      <c r="F614" s="6" t="n">
        <f aca="false">D614+E614</f>
        <v>165.142006352916</v>
      </c>
      <c r="G614" s="6" t="n">
        <f aca="false">F614-C614</f>
        <v>-3.85799364708393</v>
      </c>
      <c r="H614" s="4" t="str">
        <f aca="false">IF(G614&gt;2,"LATE",IF(G614&lt;-13,"EARLY","IN"))</f>
        <v>IN</v>
      </c>
      <c r="I614" s="4" t="n">
        <f aca="false">C614-D614</f>
        <v>19</v>
      </c>
    </row>
    <row r="615" customFormat="false" ht="15" hidden="false" customHeight="false" outlineLevel="0" collapsed="false">
      <c r="A615" s="4" t="n">
        <v>13</v>
      </c>
      <c r="B615" s="4" t="n">
        <v>79</v>
      </c>
      <c r="C615" s="4" t="n">
        <v>225</v>
      </c>
      <c r="D615" s="4" t="n">
        <v>201</v>
      </c>
      <c r="E615" s="6" t="n">
        <v>17.8321126765569</v>
      </c>
      <c r="F615" s="6" t="n">
        <f aca="false">D615+E615</f>
        <v>218.832112676557</v>
      </c>
      <c r="G615" s="6" t="n">
        <f aca="false">F615-C615</f>
        <v>-6.1678873234431</v>
      </c>
      <c r="H615" s="4" t="str">
        <f aca="false">IF(G615&gt;2,"LATE",IF(G615&lt;-13,"EARLY","IN"))</f>
        <v>IN</v>
      </c>
      <c r="I615" s="4" t="n">
        <f aca="false">C615-D615</f>
        <v>24</v>
      </c>
    </row>
    <row r="616" customFormat="false" ht="15" hidden="false" customHeight="false" outlineLevel="0" collapsed="false">
      <c r="A616" s="4" t="n">
        <v>13</v>
      </c>
      <c r="B616" s="4" t="n">
        <v>80</v>
      </c>
      <c r="C616" s="4" t="n">
        <v>284</v>
      </c>
      <c r="D616" s="4" t="n">
        <v>265</v>
      </c>
      <c r="E616" s="6" t="n">
        <v>14.5531687109549</v>
      </c>
      <c r="F616" s="6" t="n">
        <f aca="false">D616+E616</f>
        <v>279.553168710955</v>
      </c>
      <c r="G616" s="6" t="n">
        <f aca="false">F616-C616</f>
        <v>-4.44683128904507</v>
      </c>
      <c r="H616" s="4" t="str">
        <f aca="false">IF(G616&gt;2,"LATE",IF(G616&lt;-13,"EARLY","IN"))</f>
        <v>IN</v>
      </c>
      <c r="I616" s="4" t="n">
        <f aca="false">C616-D616</f>
        <v>19</v>
      </c>
    </row>
    <row r="617" customFormat="false" ht="15" hidden="false" customHeight="false" outlineLevel="0" collapsed="false">
      <c r="A617" s="4" t="n">
        <v>13</v>
      </c>
      <c r="B617" s="4" t="n">
        <v>82</v>
      </c>
      <c r="C617" s="4" t="n">
        <v>223</v>
      </c>
      <c r="D617" s="4" t="n">
        <v>209</v>
      </c>
      <c r="E617" s="6" t="n">
        <v>14.6075370880218</v>
      </c>
      <c r="F617" s="6" t="n">
        <f aca="false">D617+E617</f>
        <v>223.607537088022</v>
      </c>
      <c r="G617" s="6" t="n">
        <f aca="false">F617-C617</f>
        <v>0.607537088021843</v>
      </c>
      <c r="H617" s="4" t="str">
        <f aca="false">IF(G617&gt;2,"LATE",IF(G617&lt;-13,"EARLY","IN"))</f>
        <v>IN</v>
      </c>
      <c r="I617" s="4" t="n">
        <f aca="false">C617-D617</f>
        <v>14</v>
      </c>
    </row>
    <row r="618" customFormat="false" ht="15" hidden="false" customHeight="false" outlineLevel="0" collapsed="false">
      <c r="A618" s="4" t="n">
        <v>13</v>
      </c>
      <c r="B618" s="4" t="n">
        <v>87</v>
      </c>
      <c r="C618" s="4" t="n">
        <v>177</v>
      </c>
      <c r="D618" s="4" t="n">
        <v>157</v>
      </c>
      <c r="E618" s="6" t="n">
        <v>18.1549968038058</v>
      </c>
      <c r="F618" s="6" t="n">
        <f aca="false">D618+E618</f>
        <v>175.154996803806</v>
      </c>
      <c r="G618" s="6" t="n">
        <f aca="false">F618-C618</f>
        <v>-1.8450031961942</v>
      </c>
      <c r="H618" s="4" t="str">
        <f aca="false">IF(G618&gt;2,"LATE",IF(G618&lt;-13,"EARLY","IN"))</f>
        <v>IN</v>
      </c>
      <c r="I618" s="4" t="n">
        <f aca="false">C618-D618</f>
        <v>20</v>
      </c>
    </row>
    <row r="619" customFormat="false" ht="15" hidden="false" customHeight="false" outlineLevel="0" collapsed="false">
      <c r="A619" s="4" t="n">
        <v>13</v>
      </c>
      <c r="B619" s="4" t="n">
        <v>95</v>
      </c>
      <c r="C619" s="4" t="n">
        <v>234</v>
      </c>
      <c r="D619" s="4" t="n">
        <v>215</v>
      </c>
      <c r="E619" s="6" t="n">
        <v>9.89178032388198</v>
      </c>
      <c r="F619" s="6" t="n">
        <f aca="false">D619+E619</f>
        <v>224.891780323882</v>
      </c>
      <c r="G619" s="6" t="n">
        <f aca="false">F619-C619</f>
        <v>-9.10821967611801</v>
      </c>
      <c r="H619" s="4" t="str">
        <f aca="false">IF(G619&gt;2,"LATE",IF(G619&lt;-13,"EARLY","IN"))</f>
        <v>IN</v>
      </c>
      <c r="I619" s="4" t="n">
        <f aca="false">C619-D619</f>
        <v>19</v>
      </c>
    </row>
    <row r="620" customFormat="false" ht="15" hidden="false" customHeight="false" outlineLevel="0" collapsed="false">
      <c r="A620" s="4" t="n">
        <v>13</v>
      </c>
      <c r="B620" s="4" t="n">
        <v>96</v>
      </c>
      <c r="C620" s="4" t="n">
        <v>339</v>
      </c>
      <c r="D620" s="4" t="n">
        <v>308</v>
      </c>
      <c r="E620" s="6" t="n">
        <v>13.7959669289775</v>
      </c>
      <c r="F620" s="6" t="n">
        <f aca="false">D620+E620</f>
        <v>321.795966928977</v>
      </c>
      <c r="G620" s="6" t="n">
        <f aca="false">F620-C620</f>
        <v>-17.2040330710225</v>
      </c>
      <c r="H620" s="4" t="str">
        <f aca="false">IF(G620&gt;2,"LATE",IF(G620&lt;-13,"EARLY","IN"))</f>
        <v>EARLY</v>
      </c>
      <c r="I620" s="4" t="n">
        <f aca="false">C620-D620</f>
        <v>31</v>
      </c>
    </row>
    <row r="621" customFormat="false" ht="15" hidden="false" customHeight="false" outlineLevel="0" collapsed="false">
      <c r="A621" s="4" t="n">
        <v>13</v>
      </c>
      <c r="B621" s="4" t="n">
        <v>104</v>
      </c>
      <c r="C621" s="4" t="n">
        <v>178</v>
      </c>
      <c r="D621" s="4" t="n">
        <v>162</v>
      </c>
      <c r="E621" s="6" t="n">
        <v>15.3682174489884</v>
      </c>
      <c r="F621" s="6" t="n">
        <f aca="false">D621+E621</f>
        <v>177.368217448988</v>
      </c>
      <c r="G621" s="6" t="n">
        <f aca="false">F621-C621</f>
        <v>-0.631782551011582</v>
      </c>
      <c r="H621" s="4" t="str">
        <f aca="false">IF(G621&gt;2,"LATE",IF(G621&lt;-13,"EARLY","IN"))</f>
        <v>IN</v>
      </c>
      <c r="I621" s="4" t="n">
        <f aca="false">C621-D621</f>
        <v>16</v>
      </c>
    </row>
    <row r="622" customFormat="false" ht="15" hidden="false" customHeight="false" outlineLevel="0" collapsed="false">
      <c r="A622" s="4" t="n">
        <v>13</v>
      </c>
      <c r="B622" s="4" t="n">
        <v>105</v>
      </c>
      <c r="C622" s="4" t="n">
        <v>149</v>
      </c>
      <c r="D622" s="4" t="n">
        <v>135</v>
      </c>
      <c r="E622" s="6" t="n">
        <v>13.8339142617118</v>
      </c>
      <c r="F622" s="6" t="n">
        <f aca="false">D622+E622</f>
        <v>148.833914261712</v>
      </c>
      <c r="G622" s="6" t="n">
        <f aca="false">F622-C622</f>
        <v>-0.166085738288189</v>
      </c>
      <c r="H622" s="4" t="str">
        <f aca="false">IF(G622&gt;2,"LATE",IF(G622&lt;-13,"EARLY","IN"))</f>
        <v>IN</v>
      </c>
      <c r="I622" s="4" t="n">
        <f aca="false">C622-D622</f>
        <v>14</v>
      </c>
    </row>
    <row r="623" customFormat="false" ht="15" hidden="false" customHeight="false" outlineLevel="0" collapsed="false">
      <c r="A623" s="4" t="n">
        <v>13</v>
      </c>
      <c r="B623" s="4" t="n">
        <v>112</v>
      </c>
      <c r="C623" s="4" t="n">
        <v>226</v>
      </c>
      <c r="D623" s="4" t="n">
        <v>209</v>
      </c>
      <c r="E623" s="6" t="n">
        <v>13.5113431180723</v>
      </c>
      <c r="F623" s="6" t="n">
        <f aca="false">D623+E623</f>
        <v>222.511343118072</v>
      </c>
      <c r="G623" s="6" t="n">
        <f aca="false">F623-C623</f>
        <v>-3.48865688192768</v>
      </c>
      <c r="H623" s="4" t="str">
        <f aca="false">IF(G623&gt;2,"LATE",IF(G623&lt;-13,"EARLY","IN"))</f>
        <v>IN</v>
      </c>
      <c r="I623" s="4" t="n">
        <f aca="false">C623-D623</f>
        <v>17</v>
      </c>
    </row>
    <row r="624" customFormat="false" ht="15" hidden="false" customHeight="false" outlineLevel="0" collapsed="false">
      <c r="A624" s="4" t="n">
        <v>13</v>
      </c>
      <c r="B624" s="4" t="n">
        <v>114</v>
      </c>
      <c r="C624" s="4" t="n">
        <v>197</v>
      </c>
      <c r="D624" s="4" t="n">
        <v>177</v>
      </c>
      <c r="E624" s="6" t="n">
        <v>13.9965781472083</v>
      </c>
      <c r="F624" s="6" t="n">
        <f aca="false">D624+E624</f>
        <v>190.996578147208</v>
      </c>
      <c r="G624" s="6" t="n">
        <f aca="false">F624-C624</f>
        <v>-6.00342185279169</v>
      </c>
      <c r="H624" s="4" t="str">
        <f aca="false">IF(G624&gt;2,"LATE",IF(G624&lt;-13,"EARLY","IN"))</f>
        <v>IN</v>
      </c>
      <c r="I624" s="4" t="n">
        <f aca="false">C624-D624</f>
        <v>20</v>
      </c>
    </row>
    <row r="625" customFormat="false" ht="15" hidden="false" customHeight="false" outlineLevel="0" collapsed="false">
      <c r="A625" s="4" t="n">
        <v>13</v>
      </c>
      <c r="B625" s="4" t="n">
        <v>118</v>
      </c>
      <c r="C625" s="4" t="n">
        <v>188</v>
      </c>
      <c r="D625" s="4" t="n">
        <v>173</v>
      </c>
      <c r="E625" s="6" t="n">
        <v>10.6851458201439</v>
      </c>
      <c r="F625" s="6" t="n">
        <f aca="false">D625+E625</f>
        <v>183.685145820144</v>
      </c>
      <c r="G625" s="6" t="n">
        <f aca="false">F625-C625</f>
        <v>-4.3148541798561</v>
      </c>
      <c r="H625" s="4" t="str">
        <f aca="false">IF(G625&gt;2,"LATE",IF(G625&lt;-13,"EARLY","IN"))</f>
        <v>IN</v>
      </c>
      <c r="I625" s="4" t="n">
        <f aca="false">C625-D625</f>
        <v>15</v>
      </c>
    </row>
    <row r="626" customFormat="false" ht="15" hidden="false" customHeight="false" outlineLevel="0" collapsed="false">
      <c r="A626" s="4" t="n">
        <v>13</v>
      </c>
      <c r="B626" s="4" t="n">
        <v>121</v>
      </c>
      <c r="C626" s="4" t="n">
        <v>153</v>
      </c>
      <c r="D626" s="4" t="n">
        <v>137</v>
      </c>
      <c r="E626" s="6" t="n">
        <v>10.931858236703</v>
      </c>
      <c r="F626" s="6" t="n">
        <f aca="false">D626+E626</f>
        <v>147.931858236703</v>
      </c>
      <c r="G626" s="6" t="n">
        <f aca="false">F626-C626</f>
        <v>-5.06814176329701</v>
      </c>
      <c r="H626" s="4" t="str">
        <f aca="false">IF(G626&gt;2,"LATE",IF(G626&lt;-13,"EARLY","IN"))</f>
        <v>IN</v>
      </c>
      <c r="I626" s="4" t="n">
        <f aca="false">C626-D626</f>
        <v>16</v>
      </c>
    </row>
    <row r="627" customFormat="false" ht="15" hidden="false" customHeight="false" outlineLevel="0" collapsed="false">
      <c r="A627" s="4" t="n">
        <v>13</v>
      </c>
      <c r="B627" s="4" t="n">
        <v>122</v>
      </c>
      <c r="C627" s="4" t="n">
        <v>237</v>
      </c>
      <c r="D627" s="4" t="n">
        <v>215</v>
      </c>
      <c r="E627" s="6" t="n">
        <v>12.3167142369665</v>
      </c>
      <c r="F627" s="6" t="n">
        <f aca="false">D627+E627</f>
        <v>227.316714236966</v>
      </c>
      <c r="G627" s="6" t="n">
        <f aca="false">F627-C627</f>
        <v>-9.68328576303352</v>
      </c>
      <c r="H627" s="4" t="str">
        <f aca="false">IF(G627&gt;2,"LATE",IF(G627&lt;-13,"EARLY","IN"))</f>
        <v>IN</v>
      </c>
      <c r="I627" s="4" t="n">
        <f aca="false">C627-D627</f>
        <v>22</v>
      </c>
    </row>
    <row r="628" customFormat="false" ht="15" hidden="false" customHeight="false" outlineLevel="0" collapsed="false">
      <c r="A628" s="4" t="n">
        <v>13</v>
      </c>
      <c r="B628" s="4" t="n">
        <v>123</v>
      </c>
      <c r="C628" s="4" t="n">
        <v>254</v>
      </c>
      <c r="D628" s="4" t="n">
        <v>229</v>
      </c>
      <c r="E628" s="6" t="n">
        <v>16.8619988731888</v>
      </c>
      <c r="F628" s="6" t="n">
        <f aca="false">D628+E628</f>
        <v>245.861998873189</v>
      </c>
      <c r="G628" s="6" t="n">
        <f aca="false">F628-C628</f>
        <v>-8.13800112681125</v>
      </c>
      <c r="H628" s="4" t="str">
        <f aca="false">IF(G628&gt;2,"LATE",IF(G628&lt;-13,"EARLY","IN"))</f>
        <v>IN</v>
      </c>
      <c r="I628" s="4" t="n">
        <f aca="false">C628-D628</f>
        <v>25</v>
      </c>
    </row>
    <row r="629" customFormat="false" ht="15" hidden="false" customHeight="false" outlineLevel="0" collapsed="false">
      <c r="A629" s="4" t="n">
        <v>13</v>
      </c>
      <c r="B629" s="4" t="n">
        <v>127</v>
      </c>
      <c r="C629" s="4" t="n">
        <v>163</v>
      </c>
      <c r="D629" s="4" t="n">
        <v>141</v>
      </c>
      <c r="E629" s="6" t="n">
        <v>16.2240552969339</v>
      </c>
      <c r="F629" s="6" t="n">
        <f aca="false">D629+E629</f>
        <v>157.224055296934</v>
      </c>
      <c r="G629" s="6" t="n">
        <f aca="false">F629-C629</f>
        <v>-5.77594470306607</v>
      </c>
      <c r="H629" s="4" t="str">
        <f aca="false">IF(G629&gt;2,"LATE",IF(G629&lt;-13,"EARLY","IN"))</f>
        <v>IN</v>
      </c>
      <c r="I629" s="4" t="n">
        <f aca="false">C629-D629</f>
        <v>22</v>
      </c>
    </row>
    <row r="630" customFormat="false" ht="15" hidden="false" customHeight="false" outlineLevel="0" collapsed="false">
      <c r="A630" s="4" t="n">
        <v>13</v>
      </c>
      <c r="B630" s="4" t="n">
        <v>129</v>
      </c>
      <c r="C630" s="4" t="n">
        <v>147</v>
      </c>
      <c r="D630" s="4" t="n">
        <v>130</v>
      </c>
      <c r="E630" s="6" t="n">
        <v>15.9443029511665</v>
      </c>
      <c r="F630" s="6" t="n">
        <f aca="false">D630+E630</f>
        <v>145.944302951167</v>
      </c>
      <c r="G630" s="6" t="n">
        <f aca="false">F630-C630</f>
        <v>-1.05569704883348</v>
      </c>
      <c r="H630" s="4" t="str">
        <f aca="false">IF(G630&gt;2,"LATE",IF(G630&lt;-13,"EARLY","IN"))</f>
        <v>IN</v>
      </c>
      <c r="I630" s="4" t="n">
        <f aca="false">C630-D630</f>
        <v>17</v>
      </c>
    </row>
    <row r="631" customFormat="false" ht="15" hidden="false" customHeight="false" outlineLevel="0" collapsed="false">
      <c r="A631" s="4" t="n">
        <v>13</v>
      </c>
      <c r="B631" s="4" t="n">
        <v>130</v>
      </c>
      <c r="C631" s="4" t="n">
        <v>143</v>
      </c>
      <c r="D631" s="4" t="n">
        <v>128</v>
      </c>
      <c r="E631" s="6" t="n">
        <v>14.5828787903803</v>
      </c>
      <c r="F631" s="6" t="n">
        <f aca="false">D631+E631</f>
        <v>142.58287879038</v>
      </c>
      <c r="G631" s="6" t="n">
        <f aca="false">F631-C631</f>
        <v>-0.417121209619722</v>
      </c>
      <c r="H631" s="4" t="str">
        <f aca="false">IF(G631&gt;2,"LATE",IF(G631&lt;-13,"EARLY","IN"))</f>
        <v>IN</v>
      </c>
      <c r="I631" s="4" t="n">
        <f aca="false">C631-D631</f>
        <v>15</v>
      </c>
    </row>
    <row r="632" customFormat="false" ht="15" hidden="false" customHeight="false" outlineLevel="0" collapsed="false">
      <c r="A632" s="4" t="n">
        <v>13</v>
      </c>
      <c r="B632" s="4" t="n">
        <v>134</v>
      </c>
      <c r="C632" s="4" t="n">
        <v>173</v>
      </c>
      <c r="D632" s="4" t="n">
        <v>153</v>
      </c>
      <c r="E632" s="6" t="n">
        <v>12.2370774604344</v>
      </c>
      <c r="F632" s="6" t="n">
        <f aca="false">D632+E632</f>
        <v>165.237077460434</v>
      </c>
      <c r="G632" s="6" t="n">
        <f aca="false">F632-C632</f>
        <v>-7.76292253956564</v>
      </c>
      <c r="H632" s="4" t="str">
        <f aca="false">IF(G632&gt;2,"LATE",IF(G632&lt;-13,"EARLY","IN"))</f>
        <v>IN</v>
      </c>
      <c r="I632" s="4" t="n">
        <f aca="false">C632-D632</f>
        <v>20</v>
      </c>
    </row>
    <row r="633" customFormat="false" ht="15" hidden="false" customHeight="false" outlineLevel="0" collapsed="false">
      <c r="A633" s="4" t="n">
        <v>13</v>
      </c>
      <c r="B633" s="4" t="n">
        <v>136</v>
      </c>
      <c r="C633" s="4" t="n">
        <v>232</v>
      </c>
      <c r="D633" s="4" t="n">
        <v>205</v>
      </c>
      <c r="E633" s="6" t="n">
        <v>15.2168857363989</v>
      </c>
      <c r="F633" s="6" t="n">
        <f aca="false">D633+E633</f>
        <v>220.216885736399</v>
      </c>
      <c r="G633" s="6" t="n">
        <f aca="false">F633-C633</f>
        <v>-11.7831142636011</v>
      </c>
      <c r="H633" s="4" t="str">
        <f aca="false">IF(G633&gt;2,"LATE",IF(G633&lt;-13,"EARLY","IN"))</f>
        <v>IN</v>
      </c>
      <c r="I633" s="4" t="n">
        <f aca="false">C633-D633</f>
        <v>27</v>
      </c>
    </row>
    <row r="634" customFormat="false" ht="15" hidden="false" customHeight="false" outlineLevel="0" collapsed="false">
      <c r="A634" s="4" t="n">
        <v>13</v>
      </c>
      <c r="B634" s="4" t="n">
        <v>137</v>
      </c>
      <c r="C634" s="4" t="n">
        <v>237</v>
      </c>
      <c r="D634" s="4" t="n">
        <v>222</v>
      </c>
      <c r="E634" s="6" t="n">
        <v>13.3237392827952</v>
      </c>
      <c r="F634" s="6" t="n">
        <f aca="false">D634+E634</f>
        <v>235.323739282795</v>
      </c>
      <c r="G634" s="6" t="n">
        <f aca="false">F634-C634</f>
        <v>-1.67626071720477</v>
      </c>
      <c r="H634" s="4" t="str">
        <f aca="false">IF(G634&gt;2,"LATE",IF(G634&lt;-13,"EARLY","IN"))</f>
        <v>IN</v>
      </c>
      <c r="I634" s="4" t="n">
        <f aca="false">C634-D634</f>
        <v>15</v>
      </c>
    </row>
    <row r="635" customFormat="false" ht="15" hidden="false" customHeight="false" outlineLevel="0" collapsed="false">
      <c r="A635" s="4" t="n">
        <v>13</v>
      </c>
      <c r="B635" s="4" t="n">
        <v>143</v>
      </c>
      <c r="C635" s="4" t="n">
        <v>149</v>
      </c>
      <c r="D635" s="4" t="n">
        <v>136</v>
      </c>
      <c r="E635" s="6" t="n">
        <v>16.3570217085756</v>
      </c>
      <c r="F635" s="6" t="n">
        <f aca="false">D635+E635</f>
        <v>152.357021708576</v>
      </c>
      <c r="G635" s="6" t="n">
        <f aca="false">F635-C635</f>
        <v>3.35702170857564</v>
      </c>
      <c r="H635" s="4" t="str">
        <f aca="false">IF(G635&gt;2,"LATE",IF(G635&lt;-13,"EARLY","IN"))</f>
        <v>LATE</v>
      </c>
      <c r="I635" s="4" t="n">
        <f aca="false">C635-D635</f>
        <v>13</v>
      </c>
    </row>
    <row r="636" customFormat="false" ht="15" hidden="false" customHeight="false" outlineLevel="0" collapsed="false">
      <c r="A636" s="4" t="n">
        <v>13</v>
      </c>
      <c r="B636" s="4" t="n">
        <v>147</v>
      </c>
      <c r="C636" s="4" t="n">
        <v>323</v>
      </c>
      <c r="D636" s="4" t="n">
        <v>287</v>
      </c>
      <c r="E636" s="6" t="n">
        <v>15.9303197964014</v>
      </c>
      <c r="F636" s="6" t="n">
        <f aca="false">D636+E636</f>
        <v>302.930319796401</v>
      </c>
      <c r="G636" s="6" t="n">
        <f aca="false">F636-C636</f>
        <v>-20.0696802035986</v>
      </c>
      <c r="H636" s="4" t="str">
        <f aca="false">IF(G636&gt;2,"LATE",IF(G636&lt;-13,"EARLY","IN"))</f>
        <v>EARLY</v>
      </c>
      <c r="I636" s="4" t="n">
        <f aca="false">C636-D636</f>
        <v>36</v>
      </c>
    </row>
    <row r="637" customFormat="false" ht="15" hidden="false" customHeight="false" outlineLevel="0" collapsed="false">
      <c r="A637" s="4" t="n">
        <v>13</v>
      </c>
      <c r="B637" s="4" t="n">
        <v>149</v>
      </c>
      <c r="C637" s="4" t="n">
        <v>192</v>
      </c>
      <c r="D637" s="4" t="n">
        <v>176</v>
      </c>
      <c r="E637" s="6" t="n">
        <v>14.9320250381366</v>
      </c>
      <c r="F637" s="6" t="n">
        <f aca="false">D637+E637</f>
        <v>190.932025038137</v>
      </c>
      <c r="G637" s="6" t="n">
        <f aca="false">F637-C637</f>
        <v>-1.06797496186337</v>
      </c>
      <c r="H637" s="4" t="str">
        <f aca="false">IF(G637&gt;2,"LATE",IF(G637&lt;-13,"EARLY","IN"))</f>
        <v>IN</v>
      </c>
      <c r="I637" s="4" t="n">
        <f aca="false">C637-D637</f>
        <v>16</v>
      </c>
    </row>
    <row r="638" customFormat="false" ht="15" hidden="false" customHeight="false" outlineLevel="0" collapsed="false">
      <c r="A638" s="4" t="n">
        <v>13</v>
      </c>
      <c r="B638" s="4" t="n">
        <v>153</v>
      </c>
      <c r="C638" s="4" t="n">
        <v>277</v>
      </c>
      <c r="D638" s="4" t="n">
        <v>249</v>
      </c>
      <c r="E638" s="6" t="n">
        <v>15.7087328884462</v>
      </c>
      <c r="F638" s="6" t="n">
        <f aca="false">D638+E638</f>
        <v>264.708732888446</v>
      </c>
      <c r="G638" s="6" t="n">
        <f aca="false">F638-C638</f>
        <v>-12.2912671115539</v>
      </c>
      <c r="H638" s="4" t="str">
        <f aca="false">IF(G638&gt;2,"LATE",IF(G638&lt;-13,"EARLY","IN"))</f>
        <v>IN</v>
      </c>
      <c r="I638" s="4" t="n">
        <f aca="false">C638-D638</f>
        <v>28</v>
      </c>
    </row>
    <row r="639" customFormat="false" ht="15" hidden="false" customHeight="false" outlineLevel="0" collapsed="false">
      <c r="A639" s="4" t="n">
        <v>13</v>
      </c>
      <c r="B639" s="4" t="n">
        <v>159</v>
      </c>
      <c r="C639" s="4" t="n">
        <v>174</v>
      </c>
      <c r="D639" s="4" t="n">
        <v>156</v>
      </c>
      <c r="E639" s="6" t="n">
        <v>14.9152334983411</v>
      </c>
      <c r="F639" s="6" t="n">
        <f aca="false">D639+E639</f>
        <v>170.915233498341</v>
      </c>
      <c r="G639" s="6" t="n">
        <f aca="false">F639-C639</f>
        <v>-3.08476650165895</v>
      </c>
      <c r="H639" s="4" t="str">
        <f aca="false">IF(G639&gt;2,"LATE",IF(G639&lt;-13,"EARLY","IN"))</f>
        <v>IN</v>
      </c>
      <c r="I639" s="4" t="n">
        <f aca="false">C639-D639</f>
        <v>18</v>
      </c>
    </row>
    <row r="640" customFormat="false" ht="15" hidden="false" customHeight="false" outlineLevel="0" collapsed="false">
      <c r="A640" s="4" t="n">
        <v>13</v>
      </c>
      <c r="B640" s="4" t="n">
        <v>160</v>
      </c>
      <c r="C640" s="4" t="n">
        <v>147</v>
      </c>
      <c r="D640" s="4" t="n">
        <v>130</v>
      </c>
      <c r="E640" s="6" t="n">
        <v>15.4500718360321</v>
      </c>
      <c r="F640" s="6" t="n">
        <f aca="false">D640+E640</f>
        <v>145.450071836032</v>
      </c>
      <c r="G640" s="6" t="n">
        <f aca="false">F640-C640</f>
        <v>-1.54992816396793</v>
      </c>
      <c r="H640" s="4" t="str">
        <f aca="false">IF(G640&gt;2,"LATE",IF(G640&lt;-13,"EARLY","IN"))</f>
        <v>IN</v>
      </c>
      <c r="I640" s="4" t="n">
        <f aca="false">C640-D640</f>
        <v>17</v>
      </c>
    </row>
    <row r="641" customFormat="false" ht="15" hidden="false" customHeight="false" outlineLevel="0" collapsed="false">
      <c r="A641" s="4" t="n">
        <v>13</v>
      </c>
      <c r="B641" s="4" t="n">
        <v>163</v>
      </c>
      <c r="C641" s="4" t="n">
        <v>177</v>
      </c>
      <c r="D641" s="4" t="n">
        <v>163</v>
      </c>
      <c r="E641" s="6" t="n">
        <v>19.2589397785694</v>
      </c>
      <c r="F641" s="6" t="n">
        <f aca="false">D641+E641</f>
        <v>182.258939778569</v>
      </c>
      <c r="G641" s="6" t="n">
        <f aca="false">F641-C641</f>
        <v>5.25893977856941</v>
      </c>
      <c r="H641" s="4" t="str">
        <f aca="false">IF(G641&gt;2,"LATE",IF(G641&lt;-13,"EARLY","IN"))</f>
        <v>LATE</v>
      </c>
      <c r="I641" s="4" t="n">
        <f aca="false">C641-D641</f>
        <v>14</v>
      </c>
    </row>
    <row r="642" customFormat="false" ht="15" hidden="false" customHeight="false" outlineLevel="0" collapsed="false">
      <c r="A642" s="4" t="n">
        <v>13</v>
      </c>
      <c r="B642" s="4" t="n">
        <v>167</v>
      </c>
      <c r="C642" s="4" t="n">
        <v>177</v>
      </c>
      <c r="D642" s="4" t="n">
        <v>166</v>
      </c>
      <c r="E642" s="6" t="n">
        <v>11.2477881125605</v>
      </c>
      <c r="F642" s="6" t="n">
        <f aca="false">D642+E642</f>
        <v>177.247788112561</v>
      </c>
      <c r="G642" s="6" t="n">
        <f aca="false">F642-C642</f>
        <v>0.247788112560528</v>
      </c>
      <c r="H642" s="4" t="str">
        <f aca="false">IF(G642&gt;2,"LATE",IF(G642&lt;-13,"EARLY","IN"))</f>
        <v>IN</v>
      </c>
      <c r="I642" s="4" t="n">
        <f aca="false">C642-D642</f>
        <v>11</v>
      </c>
    </row>
    <row r="643" customFormat="false" ht="15" hidden="false" customHeight="false" outlineLevel="0" collapsed="false">
      <c r="A643" s="4" t="n">
        <v>13</v>
      </c>
      <c r="B643" s="4" t="n">
        <v>169</v>
      </c>
      <c r="C643" s="4" t="n">
        <v>218</v>
      </c>
      <c r="D643" s="4" t="n">
        <v>202</v>
      </c>
      <c r="E643" s="6" t="n">
        <v>14.1529458498439</v>
      </c>
      <c r="F643" s="6" t="n">
        <f aca="false">D643+E643</f>
        <v>216.152945849844</v>
      </c>
      <c r="G643" s="6" t="n">
        <f aca="false">F643-C643</f>
        <v>-1.84705415015605</v>
      </c>
      <c r="H643" s="4" t="str">
        <f aca="false">IF(G643&gt;2,"LATE",IF(G643&lt;-13,"EARLY","IN"))</f>
        <v>IN</v>
      </c>
      <c r="I643" s="4" t="n">
        <f aca="false">C643-D643</f>
        <v>16</v>
      </c>
    </row>
    <row r="644" customFormat="false" ht="15" hidden="false" customHeight="false" outlineLevel="0" collapsed="false">
      <c r="A644" s="4" t="n">
        <v>13</v>
      </c>
      <c r="B644" s="4" t="n">
        <v>173</v>
      </c>
      <c r="C644" s="4" t="n">
        <v>190</v>
      </c>
      <c r="D644" s="4" t="n">
        <v>175</v>
      </c>
      <c r="E644" s="6" t="n">
        <v>14.7323337956222</v>
      </c>
      <c r="F644" s="6" t="n">
        <f aca="false">D644+E644</f>
        <v>189.732333795622</v>
      </c>
      <c r="G644" s="6" t="n">
        <f aca="false">F644-C644</f>
        <v>-0.267666204377804</v>
      </c>
      <c r="H644" s="4" t="str">
        <f aca="false">IF(G644&gt;2,"LATE",IF(G644&lt;-13,"EARLY","IN"))</f>
        <v>IN</v>
      </c>
      <c r="I644" s="4" t="n">
        <f aca="false">C644-D644</f>
        <v>15</v>
      </c>
    </row>
    <row r="645" customFormat="false" ht="15" hidden="false" customHeight="false" outlineLevel="0" collapsed="false">
      <c r="A645" s="4" t="n">
        <v>13</v>
      </c>
      <c r="B645" s="4" t="n">
        <v>181</v>
      </c>
      <c r="C645" s="4" t="n">
        <v>161</v>
      </c>
      <c r="D645" s="4" t="n">
        <v>141</v>
      </c>
      <c r="E645" s="6" t="n">
        <v>12.8507825662239</v>
      </c>
      <c r="F645" s="6" t="n">
        <f aca="false">D645+E645</f>
        <v>153.850782566224</v>
      </c>
      <c r="G645" s="6" t="n">
        <f aca="false">F645-C645</f>
        <v>-7.1492174337761</v>
      </c>
      <c r="H645" s="4" t="str">
        <f aca="false">IF(G645&gt;2,"LATE",IF(G645&lt;-13,"EARLY","IN"))</f>
        <v>IN</v>
      </c>
      <c r="I645" s="4" t="n">
        <f aca="false">C645-D645</f>
        <v>20</v>
      </c>
    </row>
    <row r="646" customFormat="false" ht="15" hidden="false" customHeight="false" outlineLevel="0" collapsed="false">
      <c r="A646" s="4" t="n">
        <v>13</v>
      </c>
      <c r="B646" s="4" t="n">
        <v>186</v>
      </c>
      <c r="C646" s="4" t="n">
        <v>236</v>
      </c>
      <c r="D646" s="4" t="n">
        <v>213</v>
      </c>
      <c r="E646" s="6" t="n">
        <v>13.7266077849022</v>
      </c>
      <c r="F646" s="6" t="n">
        <f aca="false">D646+E646</f>
        <v>226.726607784902</v>
      </c>
      <c r="G646" s="6" t="n">
        <f aca="false">F646-C646</f>
        <v>-9.27339221509783</v>
      </c>
      <c r="H646" s="4" t="str">
        <f aca="false">IF(G646&gt;2,"LATE",IF(G646&lt;-13,"EARLY","IN"))</f>
        <v>IN</v>
      </c>
      <c r="I646" s="4" t="n">
        <f aca="false">C646-D646</f>
        <v>23</v>
      </c>
    </row>
    <row r="647" customFormat="false" ht="15" hidden="false" customHeight="false" outlineLevel="0" collapsed="false">
      <c r="A647" s="4" t="n">
        <v>13</v>
      </c>
      <c r="B647" s="4" t="n">
        <v>191</v>
      </c>
      <c r="C647" s="4" t="n">
        <v>255</v>
      </c>
      <c r="D647" s="4" t="n">
        <v>225</v>
      </c>
      <c r="E647" s="6" t="n">
        <v>18.1406294278513</v>
      </c>
      <c r="F647" s="6" t="n">
        <f aca="false">D647+E647</f>
        <v>243.140629427851</v>
      </c>
      <c r="G647" s="6" t="n">
        <f aca="false">F647-C647</f>
        <v>-11.8593705721487</v>
      </c>
      <c r="H647" s="4" t="str">
        <f aca="false">IF(G647&gt;2,"LATE",IF(G647&lt;-13,"EARLY","IN"))</f>
        <v>IN</v>
      </c>
      <c r="I647" s="4" t="n">
        <f aca="false">C647-D647</f>
        <v>30</v>
      </c>
    </row>
    <row r="648" customFormat="false" ht="15" hidden="false" customHeight="false" outlineLevel="0" collapsed="false">
      <c r="A648" s="4" t="n">
        <v>13</v>
      </c>
      <c r="B648" s="4" t="n">
        <v>193</v>
      </c>
      <c r="C648" s="4" t="n">
        <v>223</v>
      </c>
      <c r="D648" s="4" t="n">
        <v>197</v>
      </c>
      <c r="E648" s="6" t="n">
        <v>17.4704767814088</v>
      </c>
      <c r="F648" s="6" t="n">
        <f aca="false">D648+E648</f>
        <v>214.470476781409</v>
      </c>
      <c r="G648" s="6" t="n">
        <f aca="false">F648-C648</f>
        <v>-8.52952321859118</v>
      </c>
      <c r="H648" s="4" t="str">
        <f aca="false">IF(G648&gt;2,"LATE",IF(G648&lt;-13,"EARLY","IN"))</f>
        <v>IN</v>
      </c>
      <c r="I648" s="4" t="n">
        <f aca="false">C648-D648</f>
        <v>26</v>
      </c>
    </row>
    <row r="649" customFormat="false" ht="15" hidden="false" customHeight="false" outlineLevel="0" collapsed="false">
      <c r="A649" s="4" t="n">
        <v>13</v>
      </c>
      <c r="B649" s="4" t="n">
        <v>195</v>
      </c>
      <c r="C649" s="4" t="n">
        <v>284</v>
      </c>
      <c r="D649" s="4" t="n">
        <v>260</v>
      </c>
      <c r="E649" s="6" t="n">
        <v>18.2480240076364</v>
      </c>
      <c r="F649" s="6" t="n">
        <f aca="false">D649+E649</f>
        <v>278.248024007636</v>
      </c>
      <c r="G649" s="6" t="n">
        <f aca="false">F649-C649</f>
        <v>-5.75197599236361</v>
      </c>
      <c r="H649" s="4" t="str">
        <f aca="false">IF(G649&gt;2,"LATE",IF(G649&lt;-13,"EARLY","IN"))</f>
        <v>IN</v>
      </c>
      <c r="I649" s="4" t="n">
        <f aca="false">C649-D649</f>
        <v>24</v>
      </c>
    </row>
    <row r="650" customFormat="false" ht="15" hidden="false" customHeight="false" outlineLevel="0" collapsed="false">
      <c r="A650" s="4" t="n">
        <v>13</v>
      </c>
      <c r="B650" s="4" t="n">
        <v>199</v>
      </c>
      <c r="C650" s="4" t="n">
        <v>192</v>
      </c>
      <c r="D650" s="4" t="n">
        <v>177</v>
      </c>
      <c r="E650" s="6" t="n">
        <v>10.3796613548822</v>
      </c>
      <c r="F650" s="6" t="n">
        <f aca="false">D650+E650</f>
        <v>187.379661354882</v>
      </c>
      <c r="G650" s="6" t="n">
        <f aca="false">F650-C650</f>
        <v>-4.62033864511784</v>
      </c>
      <c r="H650" s="4" t="str">
        <f aca="false">IF(G650&gt;2,"LATE",IF(G650&lt;-13,"EARLY","IN"))</f>
        <v>IN</v>
      </c>
      <c r="I650" s="4" t="n">
        <f aca="false">C650-D650</f>
        <v>15</v>
      </c>
    </row>
    <row r="651" customFormat="false" ht="15" hidden="false" customHeight="false" outlineLevel="0" collapsed="false">
      <c r="A651" s="4" t="n">
        <v>13</v>
      </c>
      <c r="B651" s="4" t="n">
        <v>209</v>
      </c>
      <c r="C651" s="4" t="n">
        <v>252</v>
      </c>
      <c r="D651" s="4" t="n">
        <v>228</v>
      </c>
      <c r="E651" s="6" t="n">
        <v>13.531879247938</v>
      </c>
      <c r="F651" s="6" t="n">
        <f aca="false">D651+E651</f>
        <v>241.531879247938</v>
      </c>
      <c r="G651" s="6" t="n">
        <f aca="false">F651-C651</f>
        <v>-10.468120752062</v>
      </c>
      <c r="H651" s="4" t="str">
        <f aca="false">IF(G651&gt;2,"LATE",IF(G651&lt;-13,"EARLY","IN"))</f>
        <v>IN</v>
      </c>
      <c r="I651" s="4" t="n">
        <f aca="false">C651-D651</f>
        <v>24</v>
      </c>
    </row>
    <row r="652" customFormat="false" ht="15" hidden="false" customHeight="false" outlineLevel="0" collapsed="false">
      <c r="A652" s="4" t="n">
        <v>14</v>
      </c>
      <c r="B652" s="4" t="n">
        <v>2</v>
      </c>
      <c r="C652" s="4" t="n">
        <v>164</v>
      </c>
      <c r="D652" s="4" t="n">
        <v>144</v>
      </c>
      <c r="E652" s="6" t="n">
        <v>13.2824265792537</v>
      </c>
      <c r="F652" s="6" t="n">
        <f aca="false">D652+E652</f>
        <v>157.282426579254</v>
      </c>
      <c r="G652" s="6" t="n">
        <f aca="false">F652-C652</f>
        <v>-6.71757342074631</v>
      </c>
      <c r="H652" s="4" t="str">
        <f aca="false">IF(G652&gt;2,"LATE",IF(G652&lt;-13,"EARLY","IN"))</f>
        <v>IN</v>
      </c>
      <c r="I652" s="4" t="n">
        <f aca="false">C652-D652</f>
        <v>20</v>
      </c>
    </row>
    <row r="653" customFormat="false" ht="15" hidden="false" customHeight="false" outlineLevel="0" collapsed="false">
      <c r="A653" s="4" t="n">
        <v>14</v>
      </c>
      <c r="B653" s="4" t="n">
        <v>5</v>
      </c>
      <c r="C653" s="4" t="n">
        <v>357</v>
      </c>
      <c r="D653" s="4" t="n">
        <v>333</v>
      </c>
      <c r="E653" s="6" t="n">
        <v>14.0852368645867</v>
      </c>
      <c r="F653" s="6" t="n">
        <f aca="false">D653+E653</f>
        <v>347.085236864587</v>
      </c>
      <c r="G653" s="6" t="n">
        <f aca="false">F653-C653</f>
        <v>-9.9147631354133</v>
      </c>
      <c r="H653" s="4" t="str">
        <f aca="false">IF(G653&gt;2,"LATE",IF(G653&lt;-13,"EARLY","IN"))</f>
        <v>IN</v>
      </c>
      <c r="I653" s="4" t="n">
        <f aca="false">C653-D653</f>
        <v>24</v>
      </c>
    </row>
    <row r="654" customFormat="false" ht="15" hidden="false" customHeight="false" outlineLevel="0" collapsed="false">
      <c r="A654" s="4" t="n">
        <v>14</v>
      </c>
      <c r="B654" s="4" t="n">
        <v>23</v>
      </c>
      <c r="C654" s="4" t="n">
        <v>213</v>
      </c>
      <c r="D654" s="4" t="n">
        <v>190</v>
      </c>
      <c r="E654" s="6" t="n">
        <v>14.7924148192664</v>
      </c>
      <c r="F654" s="6" t="n">
        <f aca="false">D654+E654</f>
        <v>204.792414819266</v>
      </c>
      <c r="G654" s="6" t="n">
        <f aca="false">F654-C654</f>
        <v>-8.20758518073365</v>
      </c>
      <c r="H654" s="4" t="str">
        <f aca="false">IF(G654&gt;2,"LATE",IF(G654&lt;-13,"EARLY","IN"))</f>
        <v>IN</v>
      </c>
      <c r="I654" s="4" t="n">
        <f aca="false">C654-D654</f>
        <v>23</v>
      </c>
    </row>
    <row r="655" customFormat="false" ht="15" hidden="false" customHeight="false" outlineLevel="0" collapsed="false">
      <c r="A655" s="4" t="n">
        <v>14</v>
      </c>
      <c r="B655" s="4" t="n">
        <v>29</v>
      </c>
      <c r="C655" s="4" t="n">
        <v>228</v>
      </c>
      <c r="D655" s="4" t="n">
        <v>210</v>
      </c>
      <c r="E655" s="6" t="n">
        <v>16.1410868719787</v>
      </c>
      <c r="F655" s="6" t="n">
        <f aca="false">D655+E655</f>
        <v>226.141086871979</v>
      </c>
      <c r="G655" s="6" t="n">
        <f aca="false">F655-C655</f>
        <v>-1.85891312802133</v>
      </c>
      <c r="H655" s="4" t="str">
        <f aca="false">IF(G655&gt;2,"LATE",IF(G655&lt;-13,"EARLY","IN"))</f>
        <v>IN</v>
      </c>
      <c r="I655" s="4" t="n">
        <f aca="false">C655-D655</f>
        <v>18</v>
      </c>
    </row>
    <row r="656" customFormat="false" ht="15" hidden="false" customHeight="false" outlineLevel="0" collapsed="false">
      <c r="A656" s="4" t="n">
        <v>14</v>
      </c>
      <c r="B656" s="4" t="n">
        <v>31</v>
      </c>
      <c r="C656" s="4" t="n">
        <v>283</v>
      </c>
      <c r="D656" s="4" t="n">
        <v>262</v>
      </c>
      <c r="E656" s="6" t="n">
        <v>17.1731376337412</v>
      </c>
      <c r="F656" s="6" t="n">
        <f aca="false">D656+E656</f>
        <v>279.173137633741</v>
      </c>
      <c r="G656" s="6" t="n">
        <f aca="false">F656-C656</f>
        <v>-3.82686236625875</v>
      </c>
      <c r="H656" s="4" t="str">
        <f aca="false">IF(G656&gt;2,"LATE",IF(G656&lt;-13,"EARLY","IN"))</f>
        <v>IN</v>
      </c>
      <c r="I656" s="4" t="n">
        <f aca="false">C656-D656</f>
        <v>21</v>
      </c>
    </row>
    <row r="657" customFormat="false" ht="15" hidden="false" customHeight="false" outlineLevel="0" collapsed="false">
      <c r="A657" s="4" t="n">
        <v>14</v>
      </c>
      <c r="B657" s="4" t="n">
        <v>37</v>
      </c>
      <c r="C657" s="4" t="n">
        <v>177</v>
      </c>
      <c r="D657" s="4" t="n">
        <v>155</v>
      </c>
      <c r="E657" s="6" t="n">
        <v>15.07570018746</v>
      </c>
      <c r="F657" s="6" t="n">
        <f aca="false">D657+E657</f>
        <v>170.07570018746</v>
      </c>
      <c r="G657" s="6" t="n">
        <f aca="false">F657-C657</f>
        <v>-6.92429981254003</v>
      </c>
      <c r="H657" s="4" t="str">
        <f aca="false">IF(G657&gt;2,"LATE",IF(G657&lt;-13,"EARLY","IN"))</f>
        <v>IN</v>
      </c>
      <c r="I657" s="4" t="n">
        <f aca="false">C657-D657</f>
        <v>22</v>
      </c>
    </row>
    <row r="658" customFormat="false" ht="15" hidden="false" customHeight="false" outlineLevel="0" collapsed="false">
      <c r="A658" s="4" t="n">
        <v>14</v>
      </c>
      <c r="B658" s="4" t="n">
        <v>40</v>
      </c>
      <c r="C658" s="4" t="n">
        <v>187</v>
      </c>
      <c r="D658" s="4" t="n">
        <v>171</v>
      </c>
      <c r="E658" s="6" t="n">
        <v>14.7445765897133</v>
      </c>
      <c r="F658" s="6" t="n">
        <f aca="false">D658+E658</f>
        <v>185.744576589713</v>
      </c>
      <c r="G658" s="6" t="n">
        <f aca="false">F658-C658</f>
        <v>-1.25542341028665</v>
      </c>
      <c r="H658" s="4" t="str">
        <f aca="false">IF(G658&gt;2,"LATE",IF(G658&lt;-13,"EARLY","IN"))</f>
        <v>IN</v>
      </c>
      <c r="I658" s="4" t="n">
        <f aca="false">C658-D658</f>
        <v>16</v>
      </c>
    </row>
    <row r="659" customFormat="false" ht="15" hidden="false" customHeight="false" outlineLevel="0" collapsed="false">
      <c r="A659" s="4" t="n">
        <v>14</v>
      </c>
      <c r="B659" s="4" t="n">
        <v>42</v>
      </c>
      <c r="C659" s="4" t="n">
        <v>241</v>
      </c>
      <c r="D659" s="4" t="n">
        <v>226</v>
      </c>
      <c r="E659" s="6" t="n">
        <v>17.0722309762787</v>
      </c>
      <c r="F659" s="6" t="n">
        <f aca="false">D659+E659</f>
        <v>243.072230976279</v>
      </c>
      <c r="G659" s="6" t="n">
        <f aca="false">F659-C659</f>
        <v>2.07223097627872</v>
      </c>
      <c r="H659" s="4" t="str">
        <f aca="false">IF(G659&gt;2,"LATE",IF(G659&lt;-13,"EARLY","IN"))</f>
        <v>LATE</v>
      </c>
      <c r="I659" s="4" t="n">
        <f aca="false">C659-D659</f>
        <v>15</v>
      </c>
    </row>
    <row r="660" customFormat="false" ht="15" hidden="false" customHeight="false" outlineLevel="0" collapsed="false">
      <c r="A660" s="4" t="n">
        <v>14</v>
      </c>
      <c r="B660" s="4" t="n">
        <v>46</v>
      </c>
      <c r="C660" s="4" t="n">
        <v>277</v>
      </c>
      <c r="D660" s="4" t="n">
        <v>251</v>
      </c>
      <c r="E660" s="6" t="n">
        <v>18.6772095519658</v>
      </c>
      <c r="F660" s="6" t="n">
        <f aca="false">D660+E660</f>
        <v>269.677209551966</v>
      </c>
      <c r="G660" s="6" t="n">
        <f aca="false">F660-C660</f>
        <v>-7.3227904480342</v>
      </c>
      <c r="H660" s="4" t="str">
        <f aca="false">IF(G660&gt;2,"LATE",IF(G660&lt;-13,"EARLY","IN"))</f>
        <v>IN</v>
      </c>
      <c r="I660" s="4" t="n">
        <f aca="false">C660-D660</f>
        <v>26</v>
      </c>
    </row>
    <row r="661" customFormat="false" ht="15" hidden="false" customHeight="false" outlineLevel="0" collapsed="false">
      <c r="A661" s="4" t="n">
        <v>14</v>
      </c>
      <c r="B661" s="4" t="n">
        <v>58</v>
      </c>
      <c r="C661" s="4" t="n">
        <v>147</v>
      </c>
      <c r="D661" s="4" t="n">
        <v>131</v>
      </c>
      <c r="E661" s="6" t="n">
        <v>13.8555970749254</v>
      </c>
      <c r="F661" s="6" t="n">
        <f aca="false">D661+E661</f>
        <v>144.855597074925</v>
      </c>
      <c r="G661" s="6" t="n">
        <f aca="false">F661-C661</f>
        <v>-2.14440292507456</v>
      </c>
      <c r="H661" s="4" t="str">
        <f aca="false">IF(G661&gt;2,"LATE",IF(G661&lt;-13,"EARLY","IN"))</f>
        <v>IN</v>
      </c>
      <c r="I661" s="4" t="n">
        <f aca="false">C661-D661</f>
        <v>16</v>
      </c>
    </row>
    <row r="662" customFormat="false" ht="15" hidden="false" customHeight="false" outlineLevel="0" collapsed="false">
      <c r="A662" s="4" t="n">
        <v>14</v>
      </c>
      <c r="B662" s="4" t="n">
        <v>63</v>
      </c>
      <c r="C662" s="4" t="n">
        <v>254</v>
      </c>
      <c r="D662" s="4" t="n">
        <v>236</v>
      </c>
      <c r="E662" s="6" t="n">
        <v>15.5076759910655</v>
      </c>
      <c r="F662" s="6" t="n">
        <f aca="false">D662+E662</f>
        <v>251.507675991066</v>
      </c>
      <c r="G662" s="6" t="n">
        <f aca="false">F662-C662</f>
        <v>-2.4923240089345</v>
      </c>
      <c r="H662" s="4" t="str">
        <f aca="false">IF(G662&gt;2,"LATE",IF(G662&lt;-13,"EARLY","IN"))</f>
        <v>IN</v>
      </c>
      <c r="I662" s="4" t="n">
        <f aca="false">C662-D662</f>
        <v>18</v>
      </c>
    </row>
    <row r="663" customFormat="false" ht="15" hidden="false" customHeight="false" outlineLevel="0" collapsed="false">
      <c r="A663" s="4" t="n">
        <v>14</v>
      </c>
      <c r="B663" s="4" t="n">
        <v>66</v>
      </c>
      <c r="C663" s="4" t="n">
        <v>190</v>
      </c>
      <c r="D663" s="4" t="n">
        <v>174</v>
      </c>
      <c r="E663" s="6" t="n">
        <v>10.1774741813625</v>
      </c>
      <c r="F663" s="6" t="n">
        <f aca="false">D663+E663</f>
        <v>184.177474181363</v>
      </c>
      <c r="G663" s="6" t="n">
        <f aca="false">F663-C663</f>
        <v>-5.8225258186375</v>
      </c>
      <c r="H663" s="4" t="str">
        <f aca="false">IF(G663&gt;2,"LATE",IF(G663&lt;-13,"EARLY","IN"))</f>
        <v>IN</v>
      </c>
      <c r="I663" s="4" t="n">
        <f aca="false">C663-D663</f>
        <v>16</v>
      </c>
    </row>
    <row r="664" customFormat="false" ht="15" hidden="false" customHeight="false" outlineLevel="0" collapsed="false">
      <c r="A664" s="4" t="n">
        <v>14</v>
      </c>
      <c r="B664" s="4" t="n">
        <v>68</v>
      </c>
      <c r="C664" s="4" t="n">
        <v>204</v>
      </c>
      <c r="D664" s="4" t="n">
        <v>187</v>
      </c>
      <c r="E664" s="6" t="n">
        <v>13.3675709505026</v>
      </c>
      <c r="F664" s="6" t="n">
        <f aca="false">D664+E664</f>
        <v>200.367570950503</v>
      </c>
      <c r="G664" s="6" t="n">
        <f aca="false">F664-C664</f>
        <v>-3.6324290494974</v>
      </c>
      <c r="H664" s="4" t="str">
        <f aca="false">IF(G664&gt;2,"LATE",IF(G664&lt;-13,"EARLY","IN"))</f>
        <v>IN</v>
      </c>
      <c r="I664" s="4" t="n">
        <f aca="false">C664-D664</f>
        <v>17</v>
      </c>
    </row>
    <row r="665" customFormat="false" ht="15" hidden="false" customHeight="false" outlineLevel="0" collapsed="false">
      <c r="A665" s="4" t="n">
        <v>14</v>
      </c>
      <c r="B665" s="4" t="n">
        <v>75</v>
      </c>
      <c r="C665" s="4" t="n">
        <v>186</v>
      </c>
      <c r="D665" s="4" t="n">
        <v>169</v>
      </c>
      <c r="E665" s="6" t="n">
        <v>17.1885958205483</v>
      </c>
      <c r="F665" s="6" t="n">
        <f aca="false">D665+E665</f>
        <v>186.188595820548</v>
      </c>
      <c r="G665" s="6" t="n">
        <f aca="false">F665-C665</f>
        <v>0.188595820548272</v>
      </c>
      <c r="H665" s="4" t="str">
        <f aca="false">IF(G665&gt;2,"LATE",IF(G665&lt;-13,"EARLY","IN"))</f>
        <v>IN</v>
      </c>
      <c r="I665" s="4" t="n">
        <f aca="false">C665-D665</f>
        <v>17</v>
      </c>
    </row>
    <row r="666" customFormat="false" ht="15" hidden="false" customHeight="false" outlineLevel="0" collapsed="false">
      <c r="A666" s="4" t="n">
        <v>14</v>
      </c>
      <c r="B666" s="4" t="n">
        <v>79</v>
      </c>
      <c r="C666" s="4" t="n">
        <v>225</v>
      </c>
      <c r="D666" s="4" t="n">
        <v>199</v>
      </c>
      <c r="E666" s="6" t="n">
        <v>16.7057852067492</v>
      </c>
      <c r="F666" s="6" t="n">
        <f aca="false">D666+E666</f>
        <v>215.705785206749</v>
      </c>
      <c r="G666" s="6" t="n">
        <f aca="false">F666-C666</f>
        <v>-9.2942147932508</v>
      </c>
      <c r="H666" s="4" t="str">
        <f aca="false">IF(G666&gt;2,"LATE",IF(G666&lt;-13,"EARLY","IN"))</f>
        <v>IN</v>
      </c>
      <c r="I666" s="4" t="n">
        <f aca="false">C666-D666</f>
        <v>26</v>
      </c>
    </row>
    <row r="667" customFormat="false" ht="15" hidden="false" customHeight="false" outlineLevel="0" collapsed="false">
      <c r="A667" s="4" t="n">
        <v>14</v>
      </c>
      <c r="B667" s="4" t="n">
        <v>90</v>
      </c>
      <c r="C667" s="4" t="n">
        <v>190</v>
      </c>
      <c r="D667" s="4" t="n">
        <v>170</v>
      </c>
      <c r="E667" s="6" t="n">
        <v>11.1405344379192</v>
      </c>
      <c r="F667" s="6" t="n">
        <f aca="false">D667+E667</f>
        <v>181.140534437919</v>
      </c>
      <c r="G667" s="6" t="n">
        <f aca="false">F667-C667</f>
        <v>-8.85946556208077</v>
      </c>
      <c r="H667" s="4" t="str">
        <f aca="false">IF(G667&gt;2,"LATE",IF(G667&lt;-13,"EARLY","IN"))</f>
        <v>IN</v>
      </c>
      <c r="I667" s="4" t="n">
        <f aca="false">C667-D667</f>
        <v>20</v>
      </c>
    </row>
    <row r="668" customFormat="false" ht="15" hidden="false" customHeight="false" outlineLevel="0" collapsed="false">
      <c r="A668" s="4" t="n">
        <v>14</v>
      </c>
      <c r="B668" s="4" t="n">
        <v>91</v>
      </c>
      <c r="C668" s="4" t="n">
        <v>199</v>
      </c>
      <c r="D668" s="4" t="n">
        <v>179</v>
      </c>
      <c r="E668" s="6" t="n">
        <v>18.1826137938898</v>
      </c>
      <c r="F668" s="6" t="n">
        <f aca="false">D668+E668</f>
        <v>197.18261379389</v>
      </c>
      <c r="G668" s="6" t="n">
        <f aca="false">F668-C668</f>
        <v>-1.81738620611017</v>
      </c>
      <c r="H668" s="4" t="str">
        <f aca="false">IF(G668&gt;2,"LATE",IF(G668&lt;-13,"EARLY","IN"))</f>
        <v>IN</v>
      </c>
      <c r="I668" s="4" t="n">
        <f aca="false">C668-D668</f>
        <v>20</v>
      </c>
    </row>
    <row r="669" customFormat="false" ht="15" hidden="false" customHeight="false" outlineLevel="0" collapsed="false">
      <c r="A669" s="4" t="n">
        <v>14</v>
      </c>
      <c r="B669" s="4" t="n">
        <v>92</v>
      </c>
      <c r="C669" s="4" t="n">
        <v>207</v>
      </c>
      <c r="D669" s="4" t="n">
        <v>187</v>
      </c>
      <c r="E669" s="6" t="n">
        <v>14.9024717126792</v>
      </c>
      <c r="F669" s="6" t="n">
        <f aca="false">D669+E669</f>
        <v>201.902471712679</v>
      </c>
      <c r="G669" s="6" t="n">
        <f aca="false">F669-C669</f>
        <v>-5.09752828732081</v>
      </c>
      <c r="H669" s="4" t="str">
        <f aca="false">IF(G669&gt;2,"LATE",IF(G669&lt;-13,"EARLY","IN"))</f>
        <v>IN</v>
      </c>
      <c r="I669" s="4" t="n">
        <f aca="false">C669-D669</f>
        <v>20</v>
      </c>
    </row>
    <row r="670" customFormat="false" ht="15" hidden="false" customHeight="false" outlineLevel="0" collapsed="false">
      <c r="A670" s="4" t="n">
        <v>14</v>
      </c>
      <c r="B670" s="4" t="n">
        <v>97</v>
      </c>
      <c r="C670" s="4" t="n">
        <v>157</v>
      </c>
      <c r="D670" s="4" t="n">
        <v>138</v>
      </c>
      <c r="E670" s="6" t="n">
        <v>15.0600525759361</v>
      </c>
      <c r="F670" s="6" t="n">
        <f aca="false">D670+E670</f>
        <v>153.060052575936</v>
      </c>
      <c r="G670" s="6" t="n">
        <f aca="false">F670-C670</f>
        <v>-3.93994742406386</v>
      </c>
      <c r="H670" s="4" t="str">
        <f aca="false">IF(G670&gt;2,"LATE",IF(G670&lt;-13,"EARLY","IN"))</f>
        <v>IN</v>
      </c>
      <c r="I670" s="4" t="n">
        <f aca="false">C670-D670</f>
        <v>19</v>
      </c>
    </row>
    <row r="671" customFormat="false" ht="15" hidden="false" customHeight="false" outlineLevel="0" collapsed="false">
      <c r="A671" s="4" t="n">
        <v>14</v>
      </c>
      <c r="B671" s="4" t="n">
        <v>101</v>
      </c>
      <c r="C671" s="4" t="n">
        <v>226</v>
      </c>
      <c r="D671" s="4" t="n">
        <v>202</v>
      </c>
      <c r="E671" s="6" t="n">
        <v>13.3213574845083</v>
      </c>
      <c r="F671" s="6" t="n">
        <f aca="false">D671+E671</f>
        <v>215.321357484508</v>
      </c>
      <c r="G671" s="6" t="n">
        <f aca="false">F671-C671</f>
        <v>-10.6786425154917</v>
      </c>
      <c r="H671" s="4" t="str">
        <f aca="false">IF(G671&gt;2,"LATE",IF(G671&lt;-13,"EARLY","IN"))</f>
        <v>IN</v>
      </c>
      <c r="I671" s="4" t="n">
        <f aca="false">C671-D671</f>
        <v>24</v>
      </c>
    </row>
    <row r="672" customFormat="false" ht="15" hidden="false" customHeight="false" outlineLevel="0" collapsed="false">
      <c r="A672" s="4" t="n">
        <v>14</v>
      </c>
      <c r="B672" s="4" t="n">
        <v>104</v>
      </c>
      <c r="C672" s="4" t="n">
        <v>178</v>
      </c>
      <c r="D672" s="4" t="n">
        <v>157</v>
      </c>
      <c r="E672" s="6" t="n">
        <v>14.518575747524</v>
      </c>
      <c r="F672" s="6" t="n">
        <f aca="false">D672+E672</f>
        <v>171.518575747524</v>
      </c>
      <c r="G672" s="6" t="n">
        <f aca="false">F672-C672</f>
        <v>-6.48142425247599</v>
      </c>
      <c r="H672" s="4" t="str">
        <f aca="false">IF(G672&gt;2,"LATE",IF(G672&lt;-13,"EARLY","IN"))</f>
        <v>IN</v>
      </c>
      <c r="I672" s="4" t="n">
        <f aca="false">C672-D672</f>
        <v>21</v>
      </c>
    </row>
    <row r="673" customFormat="false" ht="15" hidden="false" customHeight="false" outlineLevel="0" collapsed="false">
      <c r="A673" s="4" t="n">
        <v>14</v>
      </c>
      <c r="B673" s="4" t="n">
        <v>107</v>
      </c>
      <c r="C673" s="4" t="n">
        <v>200</v>
      </c>
      <c r="D673" s="4" t="n">
        <v>189</v>
      </c>
      <c r="E673" s="6" t="n">
        <v>11.1170908150934</v>
      </c>
      <c r="F673" s="6" t="n">
        <f aca="false">D673+E673</f>
        <v>200.117090815093</v>
      </c>
      <c r="G673" s="6" t="n">
        <f aca="false">F673-C673</f>
        <v>0.117090815093377</v>
      </c>
      <c r="H673" s="4" t="str">
        <f aca="false">IF(G673&gt;2,"LATE",IF(G673&lt;-13,"EARLY","IN"))</f>
        <v>IN</v>
      </c>
      <c r="I673" s="4" t="n">
        <f aca="false">C673-D673</f>
        <v>11</v>
      </c>
    </row>
    <row r="674" customFormat="false" ht="15" hidden="false" customHeight="false" outlineLevel="0" collapsed="false">
      <c r="A674" s="4" t="n">
        <v>14</v>
      </c>
      <c r="B674" s="4" t="n">
        <v>108</v>
      </c>
      <c r="C674" s="4" t="n">
        <v>230</v>
      </c>
      <c r="D674" s="4" t="n">
        <v>208</v>
      </c>
      <c r="E674" s="6" t="n">
        <v>15.3122456792529</v>
      </c>
      <c r="F674" s="6" t="n">
        <f aca="false">D674+E674</f>
        <v>223.312245679253</v>
      </c>
      <c r="G674" s="6" t="n">
        <f aca="false">F674-C674</f>
        <v>-6.68775432074716</v>
      </c>
      <c r="H674" s="4" t="str">
        <f aca="false">IF(G674&gt;2,"LATE",IF(G674&lt;-13,"EARLY","IN"))</f>
        <v>IN</v>
      </c>
      <c r="I674" s="4" t="n">
        <f aca="false">C674-D674</f>
        <v>22</v>
      </c>
    </row>
    <row r="675" customFormat="false" ht="15" hidden="false" customHeight="false" outlineLevel="0" collapsed="false">
      <c r="A675" s="4" t="n">
        <v>14</v>
      </c>
      <c r="B675" s="4" t="n">
        <v>109</v>
      </c>
      <c r="C675" s="4" t="n">
        <v>160</v>
      </c>
      <c r="D675" s="4" t="n">
        <v>146</v>
      </c>
      <c r="E675" s="6" t="n">
        <v>12.2677818477026</v>
      </c>
      <c r="F675" s="6" t="n">
        <f aca="false">D675+E675</f>
        <v>158.267781847703</v>
      </c>
      <c r="G675" s="6" t="n">
        <f aca="false">F675-C675</f>
        <v>-1.73221815229743</v>
      </c>
      <c r="H675" s="4" t="str">
        <f aca="false">IF(G675&gt;2,"LATE",IF(G675&lt;-13,"EARLY","IN"))</f>
        <v>IN</v>
      </c>
      <c r="I675" s="4" t="n">
        <f aca="false">C675-D675</f>
        <v>14</v>
      </c>
    </row>
    <row r="676" customFormat="false" ht="15" hidden="false" customHeight="false" outlineLevel="0" collapsed="false">
      <c r="A676" s="4" t="n">
        <v>14</v>
      </c>
      <c r="B676" s="4" t="n">
        <v>111</v>
      </c>
      <c r="C676" s="4" t="n">
        <v>227</v>
      </c>
      <c r="D676" s="4" t="n">
        <v>208</v>
      </c>
      <c r="E676" s="6" t="n">
        <v>15.0902619796864</v>
      </c>
      <c r="F676" s="6" t="n">
        <f aca="false">D676+E676</f>
        <v>223.090261979686</v>
      </c>
      <c r="G676" s="6" t="n">
        <f aca="false">F676-C676</f>
        <v>-3.9097380203136</v>
      </c>
      <c r="H676" s="4" t="str">
        <f aca="false">IF(G676&gt;2,"LATE",IF(G676&lt;-13,"EARLY","IN"))</f>
        <v>IN</v>
      </c>
      <c r="I676" s="4" t="n">
        <f aca="false">C676-D676</f>
        <v>19</v>
      </c>
    </row>
    <row r="677" customFormat="false" ht="15" hidden="false" customHeight="false" outlineLevel="0" collapsed="false">
      <c r="A677" s="4" t="n">
        <v>14</v>
      </c>
      <c r="B677" s="4" t="n">
        <v>118</v>
      </c>
      <c r="C677" s="4" t="n">
        <v>188</v>
      </c>
      <c r="D677" s="4" t="n">
        <v>168</v>
      </c>
      <c r="E677" s="6" t="n">
        <v>15.6327008332761</v>
      </c>
      <c r="F677" s="6" t="n">
        <f aca="false">D677+E677</f>
        <v>183.632700833276</v>
      </c>
      <c r="G677" s="6" t="n">
        <f aca="false">F677-C677</f>
        <v>-4.36729916672391</v>
      </c>
      <c r="H677" s="4" t="str">
        <f aca="false">IF(G677&gt;2,"LATE",IF(G677&lt;-13,"EARLY","IN"))</f>
        <v>IN</v>
      </c>
      <c r="I677" s="4" t="n">
        <f aca="false">C677-D677</f>
        <v>20</v>
      </c>
    </row>
    <row r="678" customFormat="false" ht="15" hidden="false" customHeight="false" outlineLevel="0" collapsed="false">
      <c r="A678" s="4" t="n">
        <v>14</v>
      </c>
      <c r="B678" s="4" t="n">
        <v>119</v>
      </c>
      <c r="C678" s="4" t="n">
        <v>242</v>
      </c>
      <c r="D678" s="4" t="n">
        <v>217</v>
      </c>
      <c r="E678" s="6" t="n">
        <v>17.0453198329155</v>
      </c>
      <c r="F678" s="6" t="n">
        <f aca="false">D678+E678</f>
        <v>234.045319832915</v>
      </c>
      <c r="G678" s="6" t="n">
        <f aca="false">F678-C678</f>
        <v>-7.95468016708455</v>
      </c>
      <c r="H678" s="4" t="str">
        <f aca="false">IF(G678&gt;2,"LATE",IF(G678&lt;-13,"EARLY","IN"))</f>
        <v>IN</v>
      </c>
      <c r="I678" s="4" t="n">
        <f aca="false">C678-D678</f>
        <v>25</v>
      </c>
    </row>
    <row r="679" customFormat="false" ht="15" hidden="false" customHeight="false" outlineLevel="0" collapsed="false">
      <c r="A679" s="4" t="n">
        <v>14</v>
      </c>
      <c r="B679" s="4" t="n">
        <v>120</v>
      </c>
      <c r="C679" s="4" t="n">
        <v>170</v>
      </c>
      <c r="D679" s="4" t="n">
        <v>150</v>
      </c>
      <c r="E679" s="6" t="n">
        <v>13.7149806935805</v>
      </c>
      <c r="F679" s="6" t="n">
        <f aca="false">D679+E679</f>
        <v>163.714980693581</v>
      </c>
      <c r="G679" s="6" t="n">
        <f aca="false">F679-C679</f>
        <v>-6.28501930641946</v>
      </c>
      <c r="H679" s="4" t="str">
        <f aca="false">IF(G679&gt;2,"LATE",IF(G679&lt;-13,"EARLY","IN"))</f>
        <v>IN</v>
      </c>
      <c r="I679" s="4" t="n">
        <f aca="false">C679-D679</f>
        <v>20</v>
      </c>
    </row>
    <row r="680" customFormat="false" ht="15" hidden="false" customHeight="false" outlineLevel="0" collapsed="false">
      <c r="A680" s="4" t="n">
        <v>14</v>
      </c>
      <c r="B680" s="4" t="n">
        <v>121</v>
      </c>
      <c r="C680" s="4" t="n">
        <v>153</v>
      </c>
      <c r="D680" s="4" t="n">
        <v>138</v>
      </c>
      <c r="E680" s="6" t="n">
        <v>11.6141137831471</v>
      </c>
      <c r="F680" s="6" t="n">
        <f aca="false">D680+E680</f>
        <v>149.614113783147</v>
      </c>
      <c r="G680" s="6" t="n">
        <f aca="false">F680-C680</f>
        <v>-3.38588621685287</v>
      </c>
      <c r="H680" s="4" t="str">
        <f aca="false">IF(G680&gt;2,"LATE",IF(G680&lt;-13,"EARLY","IN"))</f>
        <v>IN</v>
      </c>
      <c r="I680" s="4" t="n">
        <f aca="false">C680-D680</f>
        <v>15</v>
      </c>
    </row>
    <row r="681" customFormat="false" ht="15" hidden="false" customHeight="false" outlineLevel="0" collapsed="false">
      <c r="A681" s="4" t="n">
        <v>14</v>
      </c>
      <c r="B681" s="4" t="n">
        <v>125</v>
      </c>
      <c r="C681" s="4" t="n">
        <v>245</v>
      </c>
      <c r="D681" s="4" t="n">
        <v>222</v>
      </c>
      <c r="E681" s="6" t="n">
        <v>19.2199906036784</v>
      </c>
      <c r="F681" s="6" t="n">
        <f aca="false">D681+E681</f>
        <v>241.219990603678</v>
      </c>
      <c r="G681" s="6" t="n">
        <f aca="false">F681-C681</f>
        <v>-3.78000939632165</v>
      </c>
      <c r="H681" s="4" t="str">
        <f aca="false">IF(G681&gt;2,"LATE",IF(G681&lt;-13,"EARLY","IN"))</f>
        <v>IN</v>
      </c>
      <c r="I681" s="4" t="n">
        <f aca="false">C681-D681</f>
        <v>23</v>
      </c>
    </row>
    <row r="682" customFormat="false" ht="15" hidden="false" customHeight="false" outlineLevel="0" collapsed="false">
      <c r="A682" s="4" t="n">
        <v>14</v>
      </c>
      <c r="B682" s="4" t="n">
        <v>145</v>
      </c>
      <c r="C682" s="4" t="n">
        <v>189</v>
      </c>
      <c r="D682" s="4" t="n">
        <v>166</v>
      </c>
      <c r="E682" s="6" t="n">
        <v>15.4258432808145</v>
      </c>
      <c r="F682" s="6" t="n">
        <f aca="false">D682+E682</f>
        <v>181.425843280815</v>
      </c>
      <c r="G682" s="6" t="n">
        <f aca="false">F682-C682</f>
        <v>-7.57415671918551</v>
      </c>
      <c r="H682" s="4" t="str">
        <f aca="false">IF(G682&gt;2,"LATE",IF(G682&lt;-13,"EARLY","IN"))</f>
        <v>IN</v>
      </c>
      <c r="I682" s="4" t="n">
        <f aca="false">C682-D682</f>
        <v>23</v>
      </c>
    </row>
    <row r="683" customFormat="false" ht="15" hidden="false" customHeight="false" outlineLevel="0" collapsed="false">
      <c r="A683" s="4" t="n">
        <v>14</v>
      </c>
      <c r="B683" s="4" t="n">
        <v>153</v>
      </c>
      <c r="C683" s="4" t="n">
        <v>277</v>
      </c>
      <c r="D683" s="4" t="n">
        <v>249</v>
      </c>
      <c r="E683" s="6" t="n">
        <v>15.9873368384449</v>
      </c>
      <c r="F683" s="6" t="n">
        <f aca="false">D683+E683</f>
        <v>264.987336838445</v>
      </c>
      <c r="G683" s="6" t="n">
        <f aca="false">F683-C683</f>
        <v>-12.0126631615551</v>
      </c>
      <c r="H683" s="4" t="str">
        <f aca="false">IF(G683&gt;2,"LATE",IF(G683&lt;-13,"EARLY","IN"))</f>
        <v>IN</v>
      </c>
      <c r="I683" s="4" t="n">
        <f aca="false">C683-D683</f>
        <v>28</v>
      </c>
    </row>
    <row r="684" customFormat="false" ht="15" hidden="false" customHeight="false" outlineLevel="0" collapsed="false">
      <c r="A684" s="4" t="n">
        <v>14</v>
      </c>
      <c r="B684" s="4" t="n">
        <v>154</v>
      </c>
      <c r="C684" s="4" t="n">
        <v>171</v>
      </c>
      <c r="D684" s="4" t="n">
        <v>148</v>
      </c>
      <c r="E684" s="6" t="n">
        <v>15.8418746846952</v>
      </c>
      <c r="F684" s="6" t="n">
        <f aca="false">D684+E684</f>
        <v>163.841874684695</v>
      </c>
      <c r="G684" s="6" t="n">
        <f aca="false">F684-C684</f>
        <v>-7.1581253153048</v>
      </c>
      <c r="H684" s="4" t="str">
        <f aca="false">IF(G684&gt;2,"LATE",IF(G684&lt;-13,"EARLY","IN"))</f>
        <v>IN</v>
      </c>
      <c r="I684" s="4" t="n">
        <f aca="false">C684-D684</f>
        <v>23</v>
      </c>
    </row>
    <row r="685" customFormat="false" ht="15" hidden="false" customHeight="false" outlineLevel="0" collapsed="false">
      <c r="A685" s="4" t="n">
        <v>14</v>
      </c>
      <c r="B685" s="4" t="n">
        <v>157</v>
      </c>
      <c r="C685" s="4" t="n">
        <v>202</v>
      </c>
      <c r="D685" s="4" t="n">
        <v>181</v>
      </c>
      <c r="E685" s="6" t="n">
        <v>14.2057191329557</v>
      </c>
      <c r="F685" s="6" t="n">
        <f aca="false">D685+E685</f>
        <v>195.205719132956</v>
      </c>
      <c r="G685" s="6" t="n">
        <f aca="false">F685-C685</f>
        <v>-6.79428086704431</v>
      </c>
      <c r="H685" s="4" t="str">
        <f aca="false">IF(G685&gt;2,"LATE",IF(G685&lt;-13,"EARLY","IN"))</f>
        <v>IN</v>
      </c>
      <c r="I685" s="4" t="n">
        <f aca="false">C685-D685</f>
        <v>21</v>
      </c>
    </row>
    <row r="686" customFormat="false" ht="15" hidden="false" customHeight="false" outlineLevel="0" collapsed="false">
      <c r="A686" s="4" t="n">
        <v>14</v>
      </c>
      <c r="B686" s="4" t="n">
        <v>167</v>
      </c>
      <c r="C686" s="4" t="n">
        <v>177</v>
      </c>
      <c r="D686" s="4" t="n">
        <v>166</v>
      </c>
      <c r="E686" s="6" t="n">
        <v>12.1833782490336</v>
      </c>
      <c r="F686" s="6" t="n">
        <f aca="false">D686+E686</f>
        <v>178.183378249034</v>
      </c>
      <c r="G686" s="6" t="n">
        <f aca="false">F686-C686</f>
        <v>1.18337824903358</v>
      </c>
      <c r="H686" s="4" t="str">
        <f aca="false">IF(G686&gt;2,"LATE",IF(G686&lt;-13,"EARLY","IN"))</f>
        <v>IN</v>
      </c>
      <c r="I686" s="4" t="n">
        <f aca="false">C686-D686</f>
        <v>11</v>
      </c>
    </row>
    <row r="687" customFormat="false" ht="15" hidden="false" customHeight="false" outlineLevel="0" collapsed="false">
      <c r="A687" s="4" t="n">
        <v>14</v>
      </c>
      <c r="B687" s="4" t="n">
        <v>172</v>
      </c>
      <c r="C687" s="4" t="n">
        <v>222</v>
      </c>
      <c r="D687" s="4" t="n">
        <v>205</v>
      </c>
      <c r="E687" s="6" t="n">
        <v>15.9912264572731</v>
      </c>
      <c r="F687" s="6" t="n">
        <f aca="false">D687+E687</f>
        <v>220.991226457273</v>
      </c>
      <c r="G687" s="6" t="n">
        <f aca="false">F687-C687</f>
        <v>-1.00877354272686</v>
      </c>
      <c r="H687" s="4" t="str">
        <f aca="false">IF(G687&gt;2,"LATE",IF(G687&lt;-13,"EARLY","IN"))</f>
        <v>IN</v>
      </c>
      <c r="I687" s="4" t="n">
        <f aca="false">C687-D687</f>
        <v>17</v>
      </c>
    </row>
    <row r="688" customFormat="false" ht="15" hidden="false" customHeight="false" outlineLevel="0" collapsed="false">
      <c r="A688" s="4" t="n">
        <v>14</v>
      </c>
      <c r="B688" s="4" t="n">
        <v>175</v>
      </c>
      <c r="C688" s="4" t="n">
        <v>278</v>
      </c>
      <c r="D688" s="4" t="n">
        <v>252</v>
      </c>
      <c r="E688" s="6" t="n">
        <v>12.3594461187577</v>
      </c>
      <c r="F688" s="6" t="n">
        <f aca="false">D688+E688</f>
        <v>264.359446118758</v>
      </c>
      <c r="G688" s="6" t="n">
        <f aca="false">F688-C688</f>
        <v>-13.6405538812423</v>
      </c>
      <c r="H688" s="4" t="str">
        <f aca="false">IF(G688&gt;2,"LATE",IF(G688&lt;-13,"EARLY","IN"))</f>
        <v>EARLY</v>
      </c>
      <c r="I688" s="4" t="n">
        <f aca="false">C688-D688</f>
        <v>26</v>
      </c>
    </row>
    <row r="689" customFormat="false" ht="15" hidden="false" customHeight="false" outlineLevel="0" collapsed="false">
      <c r="A689" s="4" t="n">
        <v>14</v>
      </c>
      <c r="B689" s="4" t="n">
        <v>180</v>
      </c>
      <c r="C689" s="4" t="n">
        <v>200</v>
      </c>
      <c r="D689" s="4" t="n">
        <v>181</v>
      </c>
      <c r="E689" s="6" t="n">
        <v>13.8721368528928</v>
      </c>
      <c r="F689" s="6" t="n">
        <f aca="false">D689+E689</f>
        <v>194.872136852893</v>
      </c>
      <c r="G689" s="6" t="n">
        <f aca="false">F689-C689</f>
        <v>-5.12786314710721</v>
      </c>
      <c r="H689" s="4" t="str">
        <f aca="false">IF(G689&gt;2,"LATE",IF(G689&lt;-13,"EARLY","IN"))</f>
        <v>IN</v>
      </c>
      <c r="I689" s="4" t="n">
        <f aca="false">C689-D689</f>
        <v>19</v>
      </c>
    </row>
    <row r="690" customFormat="false" ht="15" hidden="false" customHeight="false" outlineLevel="0" collapsed="false">
      <c r="A690" s="4" t="n">
        <v>14</v>
      </c>
      <c r="B690" s="4" t="n">
        <v>182</v>
      </c>
      <c r="C690" s="4" t="n">
        <v>220</v>
      </c>
      <c r="D690" s="4" t="n">
        <v>196</v>
      </c>
      <c r="E690" s="6" t="n">
        <v>13.5162786505245</v>
      </c>
      <c r="F690" s="6" t="n">
        <f aca="false">D690+E690</f>
        <v>209.516278650524</v>
      </c>
      <c r="G690" s="6" t="n">
        <f aca="false">F690-C690</f>
        <v>-10.4837213494755</v>
      </c>
      <c r="H690" s="4" t="str">
        <f aca="false">IF(G690&gt;2,"LATE",IF(G690&lt;-13,"EARLY","IN"))</f>
        <v>IN</v>
      </c>
      <c r="I690" s="4" t="n">
        <f aca="false">C690-D690</f>
        <v>24</v>
      </c>
    </row>
    <row r="691" customFormat="false" ht="15" hidden="false" customHeight="false" outlineLevel="0" collapsed="false">
      <c r="A691" s="4" t="n">
        <v>14</v>
      </c>
      <c r="B691" s="4" t="n">
        <v>185</v>
      </c>
      <c r="C691" s="4" t="n">
        <v>198</v>
      </c>
      <c r="D691" s="4" t="n">
        <v>178</v>
      </c>
      <c r="E691" s="6" t="n">
        <v>15.2392151871324</v>
      </c>
      <c r="F691" s="6" t="n">
        <f aca="false">D691+E691</f>
        <v>193.239215187132</v>
      </c>
      <c r="G691" s="6" t="n">
        <f aca="false">F691-C691</f>
        <v>-4.76078481286757</v>
      </c>
      <c r="H691" s="4" t="str">
        <f aca="false">IF(G691&gt;2,"LATE",IF(G691&lt;-13,"EARLY","IN"))</f>
        <v>IN</v>
      </c>
      <c r="I691" s="4" t="n">
        <f aca="false">C691-D691</f>
        <v>20</v>
      </c>
    </row>
    <row r="692" customFormat="false" ht="15" hidden="false" customHeight="false" outlineLevel="0" collapsed="false">
      <c r="A692" s="4" t="n">
        <v>14</v>
      </c>
      <c r="B692" s="4" t="n">
        <v>189</v>
      </c>
      <c r="C692" s="4" t="n">
        <v>242</v>
      </c>
      <c r="D692" s="4" t="n">
        <v>230</v>
      </c>
      <c r="E692" s="6" t="n">
        <v>9.73300835586514</v>
      </c>
      <c r="F692" s="6" t="n">
        <f aca="false">D692+E692</f>
        <v>239.733008355865</v>
      </c>
      <c r="G692" s="6" t="n">
        <f aca="false">F692-C692</f>
        <v>-2.26699164413486</v>
      </c>
      <c r="H692" s="4" t="str">
        <f aca="false">IF(G692&gt;2,"LATE",IF(G692&lt;-13,"EARLY","IN"))</f>
        <v>IN</v>
      </c>
      <c r="I692" s="4" t="n">
        <f aca="false">C692-D692</f>
        <v>12</v>
      </c>
    </row>
    <row r="693" customFormat="false" ht="15" hidden="false" customHeight="false" outlineLevel="0" collapsed="false">
      <c r="A693" s="4" t="n">
        <v>14</v>
      </c>
      <c r="B693" s="4" t="n">
        <v>194</v>
      </c>
      <c r="C693" s="4" t="n">
        <v>246</v>
      </c>
      <c r="D693" s="4" t="n">
        <v>215</v>
      </c>
      <c r="E693" s="6" t="n">
        <v>16.9703840837802</v>
      </c>
      <c r="F693" s="6" t="n">
        <f aca="false">D693+E693</f>
        <v>231.97038408378</v>
      </c>
      <c r="G693" s="6" t="n">
        <f aca="false">F693-C693</f>
        <v>-14.0296159162199</v>
      </c>
      <c r="H693" s="4" t="str">
        <f aca="false">IF(G693&gt;2,"LATE",IF(G693&lt;-13,"EARLY","IN"))</f>
        <v>EARLY</v>
      </c>
      <c r="I693" s="4" t="n">
        <f aca="false">C693-D693</f>
        <v>31</v>
      </c>
    </row>
    <row r="694" customFormat="false" ht="15" hidden="false" customHeight="false" outlineLevel="0" collapsed="false">
      <c r="A694" s="4" t="n">
        <v>14</v>
      </c>
      <c r="B694" s="4" t="n">
        <v>195</v>
      </c>
      <c r="C694" s="4" t="n">
        <v>284</v>
      </c>
      <c r="D694" s="4" t="n">
        <v>266</v>
      </c>
      <c r="E694" s="6" t="n">
        <v>11.5027616168826</v>
      </c>
      <c r="F694" s="6" t="n">
        <f aca="false">D694+E694</f>
        <v>277.502761616883</v>
      </c>
      <c r="G694" s="6" t="n">
        <f aca="false">F694-C694</f>
        <v>-6.49723838311746</v>
      </c>
      <c r="H694" s="4" t="str">
        <f aca="false">IF(G694&gt;2,"LATE",IF(G694&lt;-13,"EARLY","IN"))</f>
        <v>IN</v>
      </c>
      <c r="I694" s="4" t="n">
        <f aca="false">C694-D694</f>
        <v>18</v>
      </c>
    </row>
    <row r="695" customFormat="false" ht="15" hidden="false" customHeight="false" outlineLevel="0" collapsed="false">
      <c r="A695" s="4" t="n">
        <v>14</v>
      </c>
      <c r="B695" s="4" t="n">
        <v>199</v>
      </c>
      <c r="C695" s="4" t="n">
        <v>192</v>
      </c>
      <c r="D695" s="4" t="n">
        <v>172</v>
      </c>
      <c r="E695" s="6" t="n">
        <v>15.4814318863173</v>
      </c>
      <c r="F695" s="6" t="n">
        <f aca="false">D695+E695</f>
        <v>187.481431886317</v>
      </c>
      <c r="G695" s="6" t="n">
        <f aca="false">F695-C695</f>
        <v>-4.5185681136827</v>
      </c>
      <c r="H695" s="4" t="str">
        <f aca="false">IF(G695&gt;2,"LATE",IF(G695&lt;-13,"EARLY","IN"))</f>
        <v>IN</v>
      </c>
      <c r="I695" s="4" t="n">
        <f aca="false">C695-D695</f>
        <v>20</v>
      </c>
    </row>
    <row r="696" customFormat="false" ht="15" hidden="false" customHeight="false" outlineLevel="0" collapsed="false">
      <c r="A696" s="4" t="n">
        <v>14</v>
      </c>
      <c r="B696" s="4" t="n">
        <v>206</v>
      </c>
      <c r="C696" s="4" t="n">
        <v>155</v>
      </c>
      <c r="D696" s="4" t="n">
        <v>135</v>
      </c>
      <c r="E696" s="6" t="n">
        <v>14.0898440008123</v>
      </c>
      <c r="F696" s="6" t="n">
        <f aca="false">D696+E696</f>
        <v>149.089844000812</v>
      </c>
      <c r="G696" s="6" t="n">
        <f aca="false">F696-C696</f>
        <v>-5.91015599918768</v>
      </c>
      <c r="H696" s="4" t="str">
        <f aca="false">IF(G696&gt;2,"LATE",IF(G696&lt;-13,"EARLY","IN"))</f>
        <v>IN</v>
      </c>
      <c r="I696" s="4" t="n">
        <f aca="false">C696-D696</f>
        <v>20</v>
      </c>
    </row>
    <row r="697" customFormat="false" ht="15" hidden="false" customHeight="false" outlineLevel="0" collapsed="false">
      <c r="A697" s="4" t="n">
        <v>14</v>
      </c>
      <c r="B697" s="4" t="n">
        <v>208</v>
      </c>
      <c r="C697" s="4" t="n">
        <v>199</v>
      </c>
      <c r="D697" s="4" t="n">
        <v>173</v>
      </c>
      <c r="E697" s="6" t="n">
        <v>16.763942370781</v>
      </c>
      <c r="F697" s="6" t="n">
        <f aca="false">D697+E697</f>
        <v>189.763942370781</v>
      </c>
      <c r="G697" s="6" t="n">
        <f aca="false">F697-C697</f>
        <v>-9.23605762921898</v>
      </c>
      <c r="H697" s="4" t="str">
        <f aca="false">IF(G697&gt;2,"LATE",IF(G697&lt;-13,"EARLY","IN"))</f>
        <v>IN</v>
      </c>
      <c r="I697" s="4" t="n">
        <f aca="false">C697-D697</f>
        <v>26</v>
      </c>
    </row>
    <row r="698" customFormat="false" ht="15" hidden="false" customHeight="false" outlineLevel="0" collapsed="false">
      <c r="A698" s="4" t="n">
        <v>14</v>
      </c>
      <c r="B698" s="4" t="n">
        <v>210</v>
      </c>
      <c r="C698" s="4" t="n">
        <v>233</v>
      </c>
      <c r="D698" s="4" t="n">
        <v>202</v>
      </c>
      <c r="E698" s="6" t="n">
        <v>17.3904273811095</v>
      </c>
      <c r="F698" s="6" t="n">
        <f aca="false">D698+E698</f>
        <v>219.39042738111</v>
      </c>
      <c r="G698" s="6" t="n">
        <f aca="false">F698-C698</f>
        <v>-13.6095726188905</v>
      </c>
      <c r="H698" s="4" t="str">
        <f aca="false">IF(G698&gt;2,"LATE",IF(G698&lt;-13,"EARLY","IN"))</f>
        <v>EARLY</v>
      </c>
      <c r="I698" s="4" t="n">
        <f aca="false">C698-D698</f>
        <v>31</v>
      </c>
    </row>
    <row r="699" customFormat="false" ht="15" hidden="false" customHeight="false" outlineLevel="0" collapsed="false">
      <c r="A699" s="4" t="n">
        <v>14</v>
      </c>
      <c r="B699" s="4" t="n">
        <v>211</v>
      </c>
      <c r="C699" s="4" t="n">
        <v>211</v>
      </c>
      <c r="D699" s="4" t="n">
        <v>199</v>
      </c>
      <c r="E699" s="6" t="n">
        <v>12.0747949215626</v>
      </c>
      <c r="F699" s="6" t="n">
        <f aca="false">D699+E699</f>
        <v>211.074794921563</v>
      </c>
      <c r="G699" s="6" t="n">
        <f aca="false">F699-C699</f>
        <v>0.074794921562642</v>
      </c>
      <c r="H699" s="4" t="str">
        <f aca="false">IF(G699&gt;2,"LATE",IF(G699&lt;-13,"EARLY","IN"))</f>
        <v>IN</v>
      </c>
      <c r="I699" s="4" t="n">
        <f aca="false">C699-D699</f>
        <v>12</v>
      </c>
    </row>
    <row r="700" customFormat="false" ht="15" hidden="false" customHeight="false" outlineLevel="0" collapsed="false">
      <c r="A700" s="4" t="n">
        <v>14</v>
      </c>
      <c r="B700" s="4" t="n">
        <v>213</v>
      </c>
      <c r="C700" s="4" t="n">
        <v>263</v>
      </c>
      <c r="D700" s="4" t="n">
        <v>244</v>
      </c>
      <c r="E700" s="6" t="n">
        <v>13.20324926144</v>
      </c>
      <c r="F700" s="6" t="n">
        <f aca="false">D700+E700</f>
        <v>257.20324926144</v>
      </c>
      <c r="G700" s="6" t="n">
        <f aca="false">F700-C700</f>
        <v>-5.79675073856004</v>
      </c>
      <c r="H700" s="4" t="str">
        <f aca="false">IF(G700&gt;2,"LATE",IF(G700&lt;-13,"EARLY","IN"))</f>
        <v>IN</v>
      </c>
      <c r="I700" s="4" t="n">
        <f aca="false">C700-D700</f>
        <v>19</v>
      </c>
    </row>
    <row r="701" customFormat="false" ht="15" hidden="false" customHeight="false" outlineLevel="0" collapsed="false">
      <c r="A701" s="4" t="n">
        <v>14</v>
      </c>
      <c r="B701" s="4" t="n">
        <v>217</v>
      </c>
      <c r="C701" s="4" t="n">
        <v>287</v>
      </c>
      <c r="D701" s="4" t="n">
        <v>257</v>
      </c>
      <c r="E701" s="6" t="n">
        <v>18.6172537514664</v>
      </c>
      <c r="F701" s="6" t="n">
        <f aca="false">D701+E701</f>
        <v>275.617253751466</v>
      </c>
      <c r="G701" s="6" t="n">
        <f aca="false">F701-C701</f>
        <v>-11.3827462485336</v>
      </c>
      <c r="H701" s="4" t="str">
        <f aca="false">IF(G701&gt;2,"LATE",IF(G701&lt;-13,"EARLY","IN"))</f>
        <v>IN</v>
      </c>
      <c r="I701" s="4" t="n">
        <f aca="false">C701-D701</f>
        <v>30</v>
      </c>
    </row>
    <row r="702" customFormat="false" ht="15" hidden="false" customHeight="false" outlineLevel="0" collapsed="false">
      <c r="A702" s="4" t="n">
        <v>15</v>
      </c>
      <c r="B702" s="4" t="n">
        <v>6</v>
      </c>
      <c r="C702" s="4" t="n">
        <v>225</v>
      </c>
      <c r="D702" s="4" t="n">
        <v>207</v>
      </c>
      <c r="E702" s="6" t="n">
        <v>12.0528046150449</v>
      </c>
      <c r="F702" s="6" t="n">
        <f aca="false">D702+E702</f>
        <v>219.052804615045</v>
      </c>
      <c r="G702" s="6" t="n">
        <f aca="false">F702-C702</f>
        <v>-5.94719538495514</v>
      </c>
      <c r="H702" s="4" t="str">
        <f aca="false">IF(G702&gt;2,"LATE",IF(G702&lt;-13,"EARLY","IN"))</f>
        <v>IN</v>
      </c>
      <c r="I702" s="4" t="n">
        <f aca="false">C702-D702</f>
        <v>18</v>
      </c>
    </row>
    <row r="703" customFormat="false" ht="15" hidden="false" customHeight="false" outlineLevel="0" collapsed="false">
      <c r="A703" s="4" t="n">
        <v>15</v>
      </c>
      <c r="B703" s="4" t="n">
        <v>17</v>
      </c>
      <c r="C703" s="4" t="n">
        <v>228</v>
      </c>
      <c r="D703" s="4" t="n">
        <v>202</v>
      </c>
      <c r="E703" s="6" t="n">
        <v>16.5570792633119</v>
      </c>
      <c r="F703" s="6" t="n">
        <f aca="false">D703+E703</f>
        <v>218.557079263312</v>
      </c>
      <c r="G703" s="6" t="n">
        <f aca="false">F703-C703</f>
        <v>-9.44292073668805</v>
      </c>
      <c r="H703" s="4" t="str">
        <f aca="false">IF(G703&gt;2,"LATE",IF(G703&lt;-13,"EARLY","IN"))</f>
        <v>IN</v>
      </c>
      <c r="I703" s="4" t="n">
        <f aca="false">C703-D703</f>
        <v>26</v>
      </c>
    </row>
    <row r="704" customFormat="false" ht="15" hidden="false" customHeight="false" outlineLevel="0" collapsed="false">
      <c r="A704" s="4" t="n">
        <v>15</v>
      </c>
      <c r="B704" s="4" t="n">
        <v>19</v>
      </c>
      <c r="C704" s="4" t="n">
        <v>167</v>
      </c>
      <c r="D704" s="4" t="n">
        <v>148</v>
      </c>
      <c r="E704" s="6" t="n">
        <v>12.78615846666</v>
      </c>
      <c r="F704" s="6" t="n">
        <f aca="false">D704+E704</f>
        <v>160.78615846666</v>
      </c>
      <c r="G704" s="6" t="n">
        <f aca="false">F704-C704</f>
        <v>-6.21384153333997</v>
      </c>
      <c r="H704" s="4" t="str">
        <f aca="false">IF(G704&gt;2,"LATE",IF(G704&lt;-13,"EARLY","IN"))</f>
        <v>IN</v>
      </c>
      <c r="I704" s="4" t="n">
        <f aca="false">C704-D704</f>
        <v>19</v>
      </c>
    </row>
    <row r="705" customFormat="false" ht="15" hidden="false" customHeight="false" outlineLevel="0" collapsed="false">
      <c r="A705" s="4" t="n">
        <v>15</v>
      </c>
      <c r="B705" s="4" t="n">
        <v>20</v>
      </c>
      <c r="C705" s="4" t="n">
        <v>154</v>
      </c>
      <c r="D705" s="4" t="n">
        <v>142</v>
      </c>
      <c r="E705" s="6" t="n">
        <v>11.702699828421</v>
      </c>
      <c r="F705" s="6" t="n">
        <f aca="false">D705+E705</f>
        <v>153.702699828421</v>
      </c>
      <c r="G705" s="6" t="n">
        <f aca="false">F705-C705</f>
        <v>-0.297300171578996</v>
      </c>
      <c r="H705" s="4" t="str">
        <f aca="false">IF(G705&gt;2,"LATE",IF(G705&lt;-13,"EARLY","IN"))</f>
        <v>IN</v>
      </c>
      <c r="I705" s="4" t="n">
        <f aca="false">C705-D705</f>
        <v>12</v>
      </c>
    </row>
    <row r="706" customFormat="false" ht="15" hidden="false" customHeight="false" outlineLevel="0" collapsed="false">
      <c r="A706" s="4" t="n">
        <v>15</v>
      </c>
      <c r="B706" s="4" t="n">
        <v>25</v>
      </c>
      <c r="C706" s="4" t="n">
        <v>281</v>
      </c>
      <c r="D706" s="4" t="n">
        <v>253</v>
      </c>
      <c r="E706" s="6" t="n">
        <v>18.790268808795</v>
      </c>
      <c r="F706" s="6" t="n">
        <f aca="false">D706+E706</f>
        <v>271.790268808795</v>
      </c>
      <c r="G706" s="6" t="n">
        <f aca="false">F706-C706</f>
        <v>-9.20973119120498</v>
      </c>
      <c r="H706" s="4" t="str">
        <f aca="false">IF(G706&gt;2,"LATE",IF(G706&lt;-13,"EARLY","IN"))</f>
        <v>IN</v>
      </c>
      <c r="I706" s="4" t="n">
        <f aca="false">C706-D706</f>
        <v>28</v>
      </c>
    </row>
    <row r="707" customFormat="false" ht="15" hidden="false" customHeight="false" outlineLevel="0" collapsed="false">
      <c r="A707" s="4" t="n">
        <v>15</v>
      </c>
      <c r="B707" s="4" t="n">
        <v>27</v>
      </c>
      <c r="C707" s="4" t="n">
        <v>178</v>
      </c>
      <c r="D707" s="4" t="n">
        <v>162</v>
      </c>
      <c r="E707" s="6" t="n">
        <v>17.4650925440833</v>
      </c>
      <c r="F707" s="6" t="n">
        <f aca="false">D707+E707</f>
        <v>179.465092544083</v>
      </c>
      <c r="G707" s="6" t="n">
        <f aca="false">F707-C707</f>
        <v>1.46509254408326</v>
      </c>
      <c r="H707" s="4" t="str">
        <f aca="false">IF(G707&gt;2,"LATE",IF(G707&lt;-13,"EARLY","IN"))</f>
        <v>IN</v>
      </c>
      <c r="I707" s="4" t="n">
        <f aca="false">C707-D707</f>
        <v>16</v>
      </c>
    </row>
    <row r="708" customFormat="false" ht="15" hidden="false" customHeight="false" outlineLevel="0" collapsed="false">
      <c r="A708" s="4" t="n">
        <v>15</v>
      </c>
      <c r="B708" s="4" t="n">
        <v>30</v>
      </c>
      <c r="C708" s="4" t="n">
        <v>200</v>
      </c>
      <c r="D708" s="4" t="n">
        <v>178</v>
      </c>
      <c r="E708" s="6" t="n">
        <v>18.0569248023728</v>
      </c>
      <c r="F708" s="6" t="n">
        <f aca="false">D708+E708</f>
        <v>196.056924802373</v>
      </c>
      <c r="G708" s="6" t="n">
        <f aca="false">F708-C708</f>
        <v>-3.94307519762722</v>
      </c>
      <c r="H708" s="4" t="str">
        <f aca="false">IF(G708&gt;2,"LATE",IF(G708&lt;-13,"EARLY","IN"))</f>
        <v>IN</v>
      </c>
      <c r="I708" s="4" t="n">
        <f aca="false">C708-D708</f>
        <v>22</v>
      </c>
    </row>
    <row r="709" customFormat="false" ht="15" hidden="false" customHeight="false" outlineLevel="0" collapsed="false">
      <c r="A709" s="4" t="n">
        <v>15</v>
      </c>
      <c r="B709" s="4" t="n">
        <v>34</v>
      </c>
      <c r="C709" s="4" t="n">
        <v>286</v>
      </c>
      <c r="D709" s="4" t="n">
        <v>267</v>
      </c>
      <c r="E709" s="6" t="n">
        <v>17.1667632197756</v>
      </c>
      <c r="F709" s="6" t="n">
        <f aca="false">D709+E709</f>
        <v>284.166763219776</v>
      </c>
      <c r="G709" s="6" t="n">
        <f aca="false">F709-C709</f>
        <v>-1.83323678022441</v>
      </c>
      <c r="H709" s="4" t="str">
        <f aca="false">IF(G709&gt;2,"LATE",IF(G709&lt;-13,"EARLY","IN"))</f>
        <v>IN</v>
      </c>
      <c r="I709" s="4" t="n">
        <f aca="false">C709-D709</f>
        <v>19</v>
      </c>
    </row>
    <row r="710" customFormat="false" ht="15" hidden="false" customHeight="false" outlineLevel="0" collapsed="false">
      <c r="A710" s="4" t="n">
        <v>15</v>
      </c>
      <c r="B710" s="4" t="n">
        <v>45</v>
      </c>
      <c r="C710" s="4" t="n">
        <v>242</v>
      </c>
      <c r="D710" s="4" t="n">
        <v>222</v>
      </c>
      <c r="E710" s="6" t="n">
        <v>18.7766977964353</v>
      </c>
      <c r="F710" s="6" t="n">
        <f aca="false">D710+E710</f>
        <v>240.776697796435</v>
      </c>
      <c r="G710" s="6" t="n">
        <f aca="false">F710-C710</f>
        <v>-1.22330220356471</v>
      </c>
      <c r="H710" s="4" t="str">
        <f aca="false">IF(G710&gt;2,"LATE",IF(G710&lt;-13,"EARLY","IN"))</f>
        <v>IN</v>
      </c>
      <c r="I710" s="4" t="n">
        <f aca="false">C710-D710</f>
        <v>20</v>
      </c>
    </row>
    <row r="711" customFormat="false" ht="15" hidden="false" customHeight="false" outlineLevel="0" collapsed="false">
      <c r="A711" s="4" t="n">
        <v>15</v>
      </c>
      <c r="B711" s="4" t="n">
        <v>49</v>
      </c>
      <c r="C711" s="4" t="n">
        <v>285</v>
      </c>
      <c r="D711" s="4" t="n">
        <v>257</v>
      </c>
      <c r="E711" s="6" t="n">
        <v>17.7810725796499</v>
      </c>
      <c r="F711" s="6" t="n">
        <f aca="false">D711+E711</f>
        <v>274.78107257965</v>
      </c>
      <c r="G711" s="6" t="n">
        <f aca="false">F711-C711</f>
        <v>-10.21892742035</v>
      </c>
      <c r="H711" s="4" t="str">
        <f aca="false">IF(G711&gt;2,"LATE",IF(G711&lt;-13,"EARLY","IN"))</f>
        <v>IN</v>
      </c>
      <c r="I711" s="4" t="n">
        <f aca="false">C711-D711</f>
        <v>28</v>
      </c>
    </row>
    <row r="712" customFormat="false" ht="15" hidden="false" customHeight="false" outlineLevel="0" collapsed="false">
      <c r="A712" s="4" t="n">
        <v>15</v>
      </c>
      <c r="B712" s="4" t="n">
        <v>56</v>
      </c>
      <c r="C712" s="4" t="n">
        <v>162</v>
      </c>
      <c r="D712" s="4" t="n">
        <v>144</v>
      </c>
      <c r="E712" s="6" t="n">
        <v>16.8822351436379</v>
      </c>
      <c r="F712" s="6" t="n">
        <f aca="false">D712+E712</f>
        <v>160.882235143638</v>
      </c>
      <c r="G712" s="6" t="n">
        <f aca="false">F712-C712</f>
        <v>-1.1177648563621</v>
      </c>
      <c r="H712" s="4" t="str">
        <f aca="false">IF(G712&gt;2,"LATE",IF(G712&lt;-13,"EARLY","IN"))</f>
        <v>IN</v>
      </c>
      <c r="I712" s="4" t="n">
        <f aca="false">C712-D712</f>
        <v>18</v>
      </c>
    </row>
    <row r="713" customFormat="false" ht="15" hidden="false" customHeight="false" outlineLevel="0" collapsed="false">
      <c r="A713" s="4" t="n">
        <v>15</v>
      </c>
      <c r="B713" s="4" t="n">
        <v>59</v>
      </c>
      <c r="C713" s="4" t="n">
        <v>169</v>
      </c>
      <c r="D713" s="4" t="n">
        <v>152</v>
      </c>
      <c r="E713" s="6" t="n">
        <v>16.6550355402146</v>
      </c>
      <c r="F713" s="6" t="n">
        <f aca="false">D713+E713</f>
        <v>168.655035540215</v>
      </c>
      <c r="G713" s="6" t="n">
        <f aca="false">F713-C713</f>
        <v>-0.344964459785388</v>
      </c>
      <c r="H713" s="4" t="str">
        <f aca="false">IF(G713&gt;2,"LATE",IF(G713&lt;-13,"EARLY","IN"))</f>
        <v>IN</v>
      </c>
      <c r="I713" s="4" t="n">
        <f aca="false">C713-D713</f>
        <v>17</v>
      </c>
    </row>
    <row r="714" customFormat="false" ht="15" hidden="false" customHeight="false" outlineLevel="0" collapsed="false">
      <c r="A714" s="4" t="n">
        <v>15</v>
      </c>
      <c r="B714" s="4" t="n">
        <v>62</v>
      </c>
      <c r="C714" s="4" t="n">
        <v>238</v>
      </c>
      <c r="D714" s="4" t="n">
        <v>220</v>
      </c>
      <c r="E714" s="6" t="n">
        <v>10.8954878611669</v>
      </c>
      <c r="F714" s="6" t="n">
        <f aca="false">D714+E714</f>
        <v>230.895487861167</v>
      </c>
      <c r="G714" s="6" t="n">
        <f aca="false">F714-C714</f>
        <v>-7.10451213883306</v>
      </c>
      <c r="H714" s="4" t="str">
        <f aca="false">IF(G714&gt;2,"LATE",IF(G714&lt;-13,"EARLY","IN"))</f>
        <v>IN</v>
      </c>
      <c r="I714" s="4" t="n">
        <f aca="false">C714-D714</f>
        <v>18</v>
      </c>
    </row>
    <row r="715" customFormat="false" ht="15" hidden="false" customHeight="false" outlineLevel="0" collapsed="false">
      <c r="A715" s="4" t="n">
        <v>15</v>
      </c>
      <c r="B715" s="4" t="n">
        <v>64</v>
      </c>
      <c r="C715" s="4" t="n">
        <v>154</v>
      </c>
      <c r="D715" s="4" t="n">
        <v>141</v>
      </c>
      <c r="E715" s="6" t="n">
        <v>15.7521874443828</v>
      </c>
      <c r="F715" s="6" t="n">
        <f aca="false">D715+E715</f>
        <v>156.752187444383</v>
      </c>
      <c r="G715" s="6" t="n">
        <f aca="false">F715-C715</f>
        <v>2.75218744438277</v>
      </c>
      <c r="H715" s="4" t="str">
        <f aca="false">IF(G715&gt;2,"LATE",IF(G715&lt;-13,"EARLY","IN"))</f>
        <v>LATE</v>
      </c>
      <c r="I715" s="4" t="n">
        <f aca="false">C715-D715</f>
        <v>13</v>
      </c>
    </row>
    <row r="716" customFormat="false" ht="15" hidden="false" customHeight="false" outlineLevel="0" collapsed="false">
      <c r="A716" s="4" t="n">
        <v>15</v>
      </c>
      <c r="B716" s="4" t="n">
        <v>65</v>
      </c>
      <c r="C716" s="4" t="n">
        <v>209</v>
      </c>
      <c r="D716" s="4" t="n">
        <v>191</v>
      </c>
      <c r="E716" s="6" t="n">
        <v>11.6698892985924</v>
      </c>
      <c r="F716" s="6" t="n">
        <f aca="false">D716+E716</f>
        <v>202.669889298592</v>
      </c>
      <c r="G716" s="6" t="n">
        <f aca="false">F716-C716</f>
        <v>-6.33011070140765</v>
      </c>
      <c r="H716" s="4" t="str">
        <f aca="false">IF(G716&gt;2,"LATE",IF(G716&lt;-13,"EARLY","IN"))</f>
        <v>IN</v>
      </c>
      <c r="I716" s="4" t="n">
        <f aca="false">C716-D716</f>
        <v>18</v>
      </c>
    </row>
    <row r="717" customFormat="false" ht="15" hidden="false" customHeight="false" outlineLevel="0" collapsed="false">
      <c r="A717" s="4" t="n">
        <v>15</v>
      </c>
      <c r="B717" s="4" t="n">
        <v>67</v>
      </c>
      <c r="C717" s="4" t="n">
        <v>145</v>
      </c>
      <c r="D717" s="4" t="n">
        <v>129</v>
      </c>
      <c r="E717" s="6" t="n">
        <v>13.7404284289279</v>
      </c>
      <c r="F717" s="6" t="n">
        <f aca="false">D717+E717</f>
        <v>142.740428428928</v>
      </c>
      <c r="G717" s="6" t="n">
        <f aca="false">F717-C717</f>
        <v>-2.25957157107214</v>
      </c>
      <c r="H717" s="4" t="str">
        <f aca="false">IF(G717&gt;2,"LATE",IF(G717&lt;-13,"EARLY","IN"))</f>
        <v>IN</v>
      </c>
      <c r="I717" s="4" t="n">
        <f aca="false">C717-D717</f>
        <v>16</v>
      </c>
    </row>
    <row r="718" customFormat="false" ht="15" hidden="false" customHeight="false" outlineLevel="0" collapsed="false">
      <c r="A718" s="4" t="n">
        <v>15</v>
      </c>
      <c r="B718" s="4" t="n">
        <v>72</v>
      </c>
      <c r="C718" s="4" t="n">
        <v>235</v>
      </c>
      <c r="D718" s="4" t="n">
        <v>210</v>
      </c>
      <c r="E718" s="6" t="n">
        <v>13.7131966511594</v>
      </c>
      <c r="F718" s="6" t="n">
        <f aca="false">D718+E718</f>
        <v>223.713196651159</v>
      </c>
      <c r="G718" s="6" t="n">
        <f aca="false">F718-C718</f>
        <v>-11.2868033488406</v>
      </c>
      <c r="H718" s="4" t="str">
        <f aca="false">IF(G718&gt;2,"LATE",IF(G718&lt;-13,"EARLY","IN"))</f>
        <v>IN</v>
      </c>
      <c r="I718" s="4" t="n">
        <f aca="false">C718-D718</f>
        <v>25</v>
      </c>
    </row>
    <row r="719" customFormat="false" ht="15" hidden="false" customHeight="false" outlineLevel="0" collapsed="false">
      <c r="A719" s="4" t="n">
        <v>15</v>
      </c>
      <c r="B719" s="4" t="n">
        <v>82</v>
      </c>
      <c r="C719" s="4" t="n">
        <v>223</v>
      </c>
      <c r="D719" s="4" t="n">
        <v>211</v>
      </c>
      <c r="E719" s="6" t="n">
        <v>10.8246984683374</v>
      </c>
      <c r="F719" s="6" t="n">
        <f aca="false">D719+E719</f>
        <v>221.824698468337</v>
      </c>
      <c r="G719" s="6" t="n">
        <f aca="false">F719-C719</f>
        <v>-1.17530153166263</v>
      </c>
      <c r="H719" s="4" t="str">
        <f aca="false">IF(G719&gt;2,"LATE",IF(G719&lt;-13,"EARLY","IN"))</f>
        <v>IN</v>
      </c>
      <c r="I719" s="4" t="n">
        <f aca="false">C719-D719</f>
        <v>12</v>
      </c>
    </row>
    <row r="720" customFormat="false" ht="15" hidden="false" customHeight="false" outlineLevel="0" collapsed="false">
      <c r="A720" s="4" t="n">
        <v>15</v>
      </c>
      <c r="B720" s="4" t="n">
        <v>83</v>
      </c>
      <c r="C720" s="4" t="n">
        <v>231</v>
      </c>
      <c r="D720" s="4" t="n">
        <v>213</v>
      </c>
      <c r="E720" s="6" t="n">
        <v>13.3668928715664</v>
      </c>
      <c r="F720" s="6" t="n">
        <f aca="false">D720+E720</f>
        <v>226.366892871566</v>
      </c>
      <c r="G720" s="6" t="n">
        <f aca="false">F720-C720</f>
        <v>-4.63310712843361</v>
      </c>
      <c r="H720" s="4" t="str">
        <f aca="false">IF(G720&gt;2,"LATE",IF(G720&lt;-13,"EARLY","IN"))</f>
        <v>IN</v>
      </c>
      <c r="I720" s="4" t="n">
        <f aca="false">C720-D720</f>
        <v>18</v>
      </c>
    </row>
    <row r="721" customFormat="false" ht="15" hidden="false" customHeight="false" outlineLevel="0" collapsed="false">
      <c r="A721" s="4" t="n">
        <v>15</v>
      </c>
      <c r="B721" s="4" t="n">
        <v>88</v>
      </c>
      <c r="C721" s="4" t="n">
        <v>134</v>
      </c>
      <c r="D721" s="4" t="n">
        <v>122</v>
      </c>
      <c r="E721" s="6" t="n">
        <v>14.6104543275708</v>
      </c>
      <c r="F721" s="6" t="n">
        <f aca="false">D721+E721</f>
        <v>136.610454327571</v>
      </c>
      <c r="G721" s="6" t="n">
        <f aca="false">F721-C721</f>
        <v>2.61045432757081</v>
      </c>
      <c r="H721" s="4" t="str">
        <f aca="false">IF(G721&gt;2,"LATE",IF(G721&lt;-13,"EARLY","IN"))</f>
        <v>LATE</v>
      </c>
      <c r="I721" s="4" t="n">
        <f aca="false">C721-D721</f>
        <v>12</v>
      </c>
    </row>
    <row r="722" customFormat="false" ht="15" hidden="false" customHeight="false" outlineLevel="0" collapsed="false">
      <c r="A722" s="4" t="n">
        <v>15</v>
      </c>
      <c r="B722" s="4" t="n">
        <v>96</v>
      </c>
      <c r="C722" s="4" t="n">
        <v>339</v>
      </c>
      <c r="D722" s="4" t="n">
        <v>311</v>
      </c>
      <c r="E722" s="6" t="n">
        <v>16.2671187409817</v>
      </c>
      <c r="F722" s="6" t="n">
        <f aca="false">D722+E722</f>
        <v>327.267118740982</v>
      </c>
      <c r="G722" s="6" t="n">
        <f aca="false">F722-C722</f>
        <v>-11.7328812590184</v>
      </c>
      <c r="H722" s="4" t="str">
        <f aca="false">IF(G722&gt;2,"LATE",IF(G722&lt;-13,"EARLY","IN"))</f>
        <v>IN</v>
      </c>
      <c r="I722" s="4" t="n">
        <f aca="false">C722-D722</f>
        <v>28</v>
      </c>
    </row>
    <row r="723" customFormat="false" ht="15" hidden="false" customHeight="false" outlineLevel="0" collapsed="false">
      <c r="A723" s="4" t="n">
        <v>15</v>
      </c>
      <c r="B723" s="4" t="n">
        <v>97</v>
      </c>
      <c r="C723" s="4" t="n">
        <v>157</v>
      </c>
      <c r="D723" s="4" t="n">
        <v>140</v>
      </c>
      <c r="E723" s="6" t="n">
        <v>15.8734688492311</v>
      </c>
      <c r="F723" s="6" t="n">
        <f aca="false">D723+E723</f>
        <v>155.873468849231</v>
      </c>
      <c r="G723" s="6" t="n">
        <f aca="false">F723-C723</f>
        <v>-1.12653115076887</v>
      </c>
      <c r="H723" s="4" t="str">
        <f aca="false">IF(G723&gt;2,"LATE",IF(G723&lt;-13,"EARLY","IN"))</f>
        <v>IN</v>
      </c>
      <c r="I723" s="4" t="n">
        <f aca="false">C723-D723</f>
        <v>17</v>
      </c>
    </row>
    <row r="724" customFormat="false" ht="15" hidden="false" customHeight="false" outlineLevel="0" collapsed="false">
      <c r="A724" s="4" t="n">
        <v>15</v>
      </c>
      <c r="B724" s="4" t="n">
        <v>105</v>
      </c>
      <c r="C724" s="4" t="n">
        <v>149</v>
      </c>
      <c r="D724" s="4" t="n">
        <v>138</v>
      </c>
      <c r="E724" s="6" t="n">
        <v>14.2473910777672</v>
      </c>
      <c r="F724" s="6" t="n">
        <f aca="false">D724+E724</f>
        <v>152.247391077767</v>
      </c>
      <c r="G724" s="6" t="n">
        <f aca="false">F724-C724</f>
        <v>3.24739107776719</v>
      </c>
      <c r="H724" s="4" t="str">
        <f aca="false">IF(G724&gt;2,"LATE",IF(G724&lt;-13,"EARLY","IN"))</f>
        <v>LATE</v>
      </c>
      <c r="I724" s="4" t="n">
        <f aca="false">C724-D724</f>
        <v>11</v>
      </c>
    </row>
    <row r="725" customFormat="false" ht="15" hidden="false" customHeight="false" outlineLevel="0" collapsed="false">
      <c r="A725" s="4" t="n">
        <v>15</v>
      </c>
      <c r="B725" s="4" t="n">
        <v>110</v>
      </c>
      <c r="C725" s="4" t="n">
        <v>277</v>
      </c>
      <c r="D725" s="4" t="n">
        <v>248</v>
      </c>
      <c r="E725" s="6" t="n">
        <v>17.4099884533857</v>
      </c>
      <c r="F725" s="6" t="n">
        <f aca="false">D725+E725</f>
        <v>265.409988453386</v>
      </c>
      <c r="G725" s="6" t="n">
        <f aca="false">F725-C725</f>
        <v>-11.5900115466143</v>
      </c>
      <c r="H725" s="4" t="str">
        <f aca="false">IF(G725&gt;2,"LATE",IF(G725&lt;-13,"EARLY","IN"))</f>
        <v>IN</v>
      </c>
      <c r="I725" s="4" t="n">
        <f aca="false">C725-D725</f>
        <v>29</v>
      </c>
    </row>
    <row r="726" customFormat="false" ht="15" hidden="false" customHeight="false" outlineLevel="0" collapsed="false">
      <c r="A726" s="4" t="n">
        <v>15</v>
      </c>
      <c r="B726" s="4" t="n">
        <v>112</v>
      </c>
      <c r="C726" s="4" t="n">
        <v>226</v>
      </c>
      <c r="D726" s="4" t="n">
        <v>209</v>
      </c>
      <c r="E726" s="6" t="n">
        <v>16.4779719514574</v>
      </c>
      <c r="F726" s="6" t="n">
        <f aca="false">D726+E726</f>
        <v>225.477971951457</v>
      </c>
      <c r="G726" s="6" t="n">
        <f aca="false">F726-C726</f>
        <v>-0.522028048542609</v>
      </c>
      <c r="H726" s="4" t="str">
        <f aca="false">IF(G726&gt;2,"LATE",IF(G726&lt;-13,"EARLY","IN"))</f>
        <v>IN</v>
      </c>
      <c r="I726" s="4" t="n">
        <f aca="false">C726-D726</f>
        <v>17</v>
      </c>
    </row>
    <row r="727" customFormat="false" ht="15" hidden="false" customHeight="false" outlineLevel="0" collapsed="false">
      <c r="A727" s="4" t="n">
        <v>15</v>
      </c>
      <c r="B727" s="4" t="n">
        <v>115</v>
      </c>
      <c r="C727" s="4" t="n">
        <v>260</v>
      </c>
      <c r="D727" s="4" t="n">
        <v>241</v>
      </c>
      <c r="E727" s="6" t="n">
        <v>11.8405591506684</v>
      </c>
      <c r="F727" s="6" t="n">
        <f aca="false">D727+E727</f>
        <v>252.840559150668</v>
      </c>
      <c r="G727" s="6" t="n">
        <f aca="false">F727-C727</f>
        <v>-7.15944084933156</v>
      </c>
      <c r="H727" s="4" t="str">
        <f aca="false">IF(G727&gt;2,"LATE",IF(G727&lt;-13,"EARLY","IN"))</f>
        <v>IN</v>
      </c>
      <c r="I727" s="4" t="n">
        <f aca="false">C727-D727</f>
        <v>19</v>
      </c>
    </row>
    <row r="728" customFormat="false" ht="15" hidden="false" customHeight="false" outlineLevel="0" collapsed="false">
      <c r="A728" s="4" t="n">
        <v>15</v>
      </c>
      <c r="B728" s="4" t="n">
        <v>121</v>
      </c>
      <c r="C728" s="4" t="n">
        <v>153</v>
      </c>
      <c r="D728" s="4" t="n">
        <v>137</v>
      </c>
      <c r="E728" s="6" t="n">
        <v>10.8139768784665</v>
      </c>
      <c r="F728" s="6" t="n">
        <f aca="false">D728+E728</f>
        <v>147.813976878467</v>
      </c>
      <c r="G728" s="6" t="n">
        <f aca="false">F728-C728</f>
        <v>-5.18602312153348</v>
      </c>
      <c r="H728" s="4" t="str">
        <f aca="false">IF(G728&gt;2,"LATE",IF(G728&lt;-13,"EARLY","IN"))</f>
        <v>IN</v>
      </c>
      <c r="I728" s="4" t="n">
        <f aca="false">C728-D728</f>
        <v>16</v>
      </c>
    </row>
    <row r="729" customFormat="false" ht="15" hidden="false" customHeight="false" outlineLevel="0" collapsed="false">
      <c r="A729" s="4" t="n">
        <v>15</v>
      </c>
      <c r="B729" s="4" t="n">
        <v>128</v>
      </c>
      <c r="C729" s="4" t="n">
        <v>159</v>
      </c>
      <c r="D729" s="4" t="n">
        <v>145</v>
      </c>
      <c r="E729" s="6" t="n">
        <v>11.3239674142393</v>
      </c>
      <c r="F729" s="6" t="n">
        <f aca="false">D729+E729</f>
        <v>156.323967414239</v>
      </c>
      <c r="G729" s="6" t="n">
        <f aca="false">F729-C729</f>
        <v>-2.67603258576071</v>
      </c>
      <c r="H729" s="4" t="str">
        <f aca="false">IF(G729&gt;2,"LATE",IF(G729&lt;-13,"EARLY","IN"))</f>
        <v>IN</v>
      </c>
      <c r="I729" s="4" t="n">
        <f aca="false">C729-D729</f>
        <v>14</v>
      </c>
    </row>
    <row r="730" customFormat="false" ht="15" hidden="false" customHeight="false" outlineLevel="0" collapsed="false">
      <c r="A730" s="4" t="n">
        <v>15</v>
      </c>
      <c r="B730" s="4" t="n">
        <v>131</v>
      </c>
      <c r="C730" s="4" t="n">
        <v>263</v>
      </c>
      <c r="D730" s="4" t="n">
        <v>234</v>
      </c>
      <c r="E730" s="6" t="n">
        <v>16.5850998336317</v>
      </c>
      <c r="F730" s="6" t="n">
        <f aca="false">D730+E730</f>
        <v>250.585099833632</v>
      </c>
      <c r="G730" s="6" t="n">
        <f aca="false">F730-C730</f>
        <v>-12.4149001663683</v>
      </c>
      <c r="H730" s="4" t="str">
        <f aca="false">IF(G730&gt;2,"LATE",IF(G730&lt;-13,"EARLY","IN"))</f>
        <v>IN</v>
      </c>
      <c r="I730" s="4" t="n">
        <f aca="false">C730-D730</f>
        <v>29</v>
      </c>
    </row>
    <row r="731" customFormat="false" ht="15" hidden="false" customHeight="false" outlineLevel="0" collapsed="false">
      <c r="A731" s="4" t="n">
        <v>15</v>
      </c>
      <c r="B731" s="4" t="n">
        <v>132</v>
      </c>
      <c r="C731" s="4" t="n">
        <v>199</v>
      </c>
      <c r="D731" s="4" t="n">
        <v>187</v>
      </c>
      <c r="E731" s="6" t="n">
        <v>12.3612673920019</v>
      </c>
      <c r="F731" s="6" t="n">
        <f aca="false">D731+E731</f>
        <v>199.361267392002</v>
      </c>
      <c r="G731" s="6" t="n">
        <f aca="false">F731-C731</f>
        <v>0.361267392001935</v>
      </c>
      <c r="H731" s="4" t="str">
        <f aca="false">IF(G731&gt;2,"LATE",IF(G731&lt;-13,"EARLY","IN"))</f>
        <v>IN</v>
      </c>
      <c r="I731" s="4" t="n">
        <f aca="false">C731-D731</f>
        <v>12</v>
      </c>
    </row>
    <row r="732" customFormat="false" ht="15" hidden="false" customHeight="false" outlineLevel="0" collapsed="false">
      <c r="A732" s="4" t="n">
        <v>15</v>
      </c>
      <c r="B732" s="4" t="n">
        <v>137</v>
      </c>
      <c r="C732" s="4" t="n">
        <v>237</v>
      </c>
      <c r="D732" s="4" t="n">
        <v>221</v>
      </c>
      <c r="E732" s="6" t="n">
        <v>16.230834723942</v>
      </c>
      <c r="F732" s="6" t="n">
        <f aca="false">D732+E732</f>
        <v>237.230834723942</v>
      </c>
      <c r="G732" s="6" t="n">
        <f aca="false">F732-C732</f>
        <v>0.230834723941996</v>
      </c>
      <c r="H732" s="4" t="str">
        <f aca="false">IF(G732&gt;2,"LATE",IF(G732&lt;-13,"EARLY","IN"))</f>
        <v>IN</v>
      </c>
      <c r="I732" s="4" t="n">
        <f aca="false">C732-D732</f>
        <v>16</v>
      </c>
    </row>
    <row r="733" customFormat="false" ht="15" hidden="false" customHeight="false" outlineLevel="0" collapsed="false">
      <c r="A733" s="4" t="n">
        <v>15</v>
      </c>
      <c r="B733" s="4" t="n">
        <v>138</v>
      </c>
      <c r="C733" s="4" t="n">
        <v>181</v>
      </c>
      <c r="D733" s="4" t="n">
        <v>169</v>
      </c>
      <c r="E733" s="6" t="n">
        <v>13.3612380345704</v>
      </c>
      <c r="F733" s="6" t="n">
        <f aca="false">D733+E733</f>
        <v>182.36123803457</v>
      </c>
      <c r="G733" s="6" t="n">
        <f aca="false">F733-C733</f>
        <v>1.36123803457036</v>
      </c>
      <c r="H733" s="4" t="str">
        <f aca="false">IF(G733&gt;2,"LATE",IF(G733&lt;-13,"EARLY","IN"))</f>
        <v>IN</v>
      </c>
      <c r="I733" s="4" t="n">
        <f aca="false">C733-D733</f>
        <v>12</v>
      </c>
    </row>
    <row r="734" customFormat="false" ht="15" hidden="false" customHeight="false" outlineLevel="0" collapsed="false">
      <c r="A734" s="4" t="n">
        <v>15</v>
      </c>
      <c r="B734" s="4" t="n">
        <v>139</v>
      </c>
      <c r="C734" s="4" t="n">
        <v>211</v>
      </c>
      <c r="D734" s="4" t="n">
        <v>194</v>
      </c>
      <c r="E734" s="6" t="n">
        <v>16.2591115621754</v>
      </c>
      <c r="F734" s="6" t="n">
        <f aca="false">D734+E734</f>
        <v>210.259111562175</v>
      </c>
      <c r="G734" s="6" t="n">
        <f aca="false">F734-C734</f>
        <v>-0.740888437824651</v>
      </c>
      <c r="H734" s="4" t="str">
        <f aca="false">IF(G734&gt;2,"LATE",IF(G734&lt;-13,"EARLY","IN"))</f>
        <v>IN</v>
      </c>
      <c r="I734" s="4" t="n">
        <f aca="false">C734-D734</f>
        <v>17</v>
      </c>
    </row>
    <row r="735" customFormat="false" ht="15" hidden="false" customHeight="false" outlineLevel="0" collapsed="false">
      <c r="A735" s="4" t="n">
        <v>15</v>
      </c>
      <c r="B735" s="4" t="n">
        <v>140</v>
      </c>
      <c r="C735" s="4" t="n">
        <v>210</v>
      </c>
      <c r="D735" s="4" t="n">
        <v>195</v>
      </c>
      <c r="E735" s="6" t="n">
        <v>12.7259327791774</v>
      </c>
      <c r="F735" s="6" t="n">
        <f aca="false">D735+E735</f>
        <v>207.725932779177</v>
      </c>
      <c r="G735" s="6" t="n">
        <f aca="false">F735-C735</f>
        <v>-2.27406722082264</v>
      </c>
      <c r="H735" s="4" t="str">
        <f aca="false">IF(G735&gt;2,"LATE",IF(G735&lt;-13,"EARLY","IN"))</f>
        <v>IN</v>
      </c>
      <c r="I735" s="4" t="n">
        <f aca="false">C735-D735</f>
        <v>15</v>
      </c>
    </row>
    <row r="736" customFormat="false" ht="15" hidden="false" customHeight="false" outlineLevel="0" collapsed="false">
      <c r="A736" s="4" t="n">
        <v>15</v>
      </c>
      <c r="B736" s="4" t="n">
        <v>141</v>
      </c>
      <c r="C736" s="4" t="n">
        <v>277</v>
      </c>
      <c r="D736" s="4" t="n">
        <v>252</v>
      </c>
      <c r="E736" s="6" t="n">
        <v>13.083502408244</v>
      </c>
      <c r="F736" s="6" t="n">
        <f aca="false">D736+E736</f>
        <v>265.083502408244</v>
      </c>
      <c r="G736" s="6" t="n">
        <f aca="false">F736-C736</f>
        <v>-11.9164975917561</v>
      </c>
      <c r="H736" s="4" t="str">
        <f aca="false">IF(G736&gt;2,"LATE",IF(G736&lt;-13,"EARLY","IN"))</f>
        <v>IN</v>
      </c>
      <c r="I736" s="4" t="n">
        <f aca="false">C736-D736</f>
        <v>25</v>
      </c>
    </row>
    <row r="737" customFormat="false" ht="15" hidden="false" customHeight="false" outlineLevel="0" collapsed="false">
      <c r="A737" s="4" t="n">
        <v>15</v>
      </c>
      <c r="B737" s="4" t="n">
        <v>151</v>
      </c>
      <c r="C737" s="4" t="n">
        <v>317</v>
      </c>
      <c r="D737" s="4" t="n">
        <v>293</v>
      </c>
      <c r="E737" s="6" t="n">
        <v>13.7817429186933</v>
      </c>
      <c r="F737" s="6" t="n">
        <f aca="false">D737+E737</f>
        <v>306.781742918693</v>
      </c>
      <c r="G737" s="6" t="n">
        <f aca="false">F737-C737</f>
        <v>-10.2182570813067</v>
      </c>
      <c r="H737" s="4" t="str">
        <f aca="false">IF(G737&gt;2,"LATE",IF(G737&lt;-13,"EARLY","IN"))</f>
        <v>IN</v>
      </c>
      <c r="I737" s="4" t="n">
        <f aca="false">C737-D737</f>
        <v>24</v>
      </c>
    </row>
    <row r="738" customFormat="false" ht="15" hidden="false" customHeight="false" outlineLevel="0" collapsed="false">
      <c r="A738" s="4" t="n">
        <v>15</v>
      </c>
      <c r="B738" s="4" t="n">
        <v>164</v>
      </c>
      <c r="C738" s="4" t="n">
        <v>211</v>
      </c>
      <c r="D738" s="4" t="n">
        <v>192</v>
      </c>
      <c r="E738" s="6" t="n">
        <v>13.141027048917</v>
      </c>
      <c r="F738" s="6" t="n">
        <f aca="false">D738+E738</f>
        <v>205.141027048917</v>
      </c>
      <c r="G738" s="6" t="n">
        <f aca="false">F738-C738</f>
        <v>-5.85897295108299</v>
      </c>
      <c r="H738" s="4" t="str">
        <f aca="false">IF(G738&gt;2,"LATE",IF(G738&lt;-13,"EARLY","IN"))</f>
        <v>IN</v>
      </c>
      <c r="I738" s="4" t="n">
        <f aca="false">C738-D738</f>
        <v>19</v>
      </c>
    </row>
    <row r="739" customFormat="false" ht="15" hidden="false" customHeight="false" outlineLevel="0" collapsed="false">
      <c r="A739" s="4" t="n">
        <v>15</v>
      </c>
      <c r="B739" s="4" t="n">
        <v>169</v>
      </c>
      <c r="C739" s="4" t="n">
        <v>218</v>
      </c>
      <c r="D739" s="4" t="n">
        <v>200</v>
      </c>
      <c r="E739" s="6" t="n">
        <v>16.3570622239947</v>
      </c>
      <c r="F739" s="6" t="n">
        <f aca="false">D739+E739</f>
        <v>216.357062223995</v>
      </c>
      <c r="G739" s="6" t="n">
        <f aca="false">F739-C739</f>
        <v>-1.64293777600534</v>
      </c>
      <c r="H739" s="4" t="str">
        <f aca="false">IF(G739&gt;2,"LATE",IF(G739&lt;-13,"EARLY","IN"))</f>
        <v>IN</v>
      </c>
      <c r="I739" s="4" t="n">
        <f aca="false">C739-D739</f>
        <v>18</v>
      </c>
    </row>
    <row r="740" customFormat="false" ht="15" hidden="false" customHeight="false" outlineLevel="0" collapsed="false">
      <c r="A740" s="4" t="n">
        <v>15</v>
      </c>
      <c r="B740" s="4" t="n">
        <v>170</v>
      </c>
      <c r="C740" s="4" t="n">
        <v>302</v>
      </c>
      <c r="D740" s="4" t="n">
        <v>283</v>
      </c>
      <c r="E740" s="6" t="n">
        <v>12.3685188511521</v>
      </c>
      <c r="F740" s="6" t="n">
        <f aca="false">D740+E740</f>
        <v>295.368518851152</v>
      </c>
      <c r="G740" s="6" t="n">
        <f aca="false">F740-C740</f>
        <v>-6.63148114884785</v>
      </c>
      <c r="H740" s="4" t="str">
        <f aca="false">IF(G740&gt;2,"LATE",IF(G740&lt;-13,"EARLY","IN"))</f>
        <v>IN</v>
      </c>
      <c r="I740" s="4" t="n">
        <f aca="false">C740-D740</f>
        <v>19</v>
      </c>
    </row>
    <row r="741" customFormat="false" ht="15" hidden="false" customHeight="false" outlineLevel="0" collapsed="false">
      <c r="A741" s="4" t="n">
        <v>15</v>
      </c>
      <c r="B741" s="4" t="n">
        <v>175</v>
      </c>
      <c r="C741" s="4" t="n">
        <v>278</v>
      </c>
      <c r="D741" s="4" t="n">
        <v>254</v>
      </c>
      <c r="E741" s="6" t="n">
        <v>16.687426180258</v>
      </c>
      <c r="F741" s="6" t="n">
        <f aca="false">D741+E741</f>
        <v>270.687426180258</v>
      </c>
      <c r="G741" s="6" t="n">
        <f aca="false">F741-C741</f>
        <v>-7.312573819742</v>
      </c>
      <c r="H741" s="4" t="str">
        <f aca="false">IF(G741&gt;2,"LATE",IF(G741&lt;-13,"EARLY","IN"))</f>
        <v>IN</v>
      </c>
      <c r="I741" s="4" t="n">
        <f aca="false">C741-D741</f>
        <v>24</v>
      </c>
    </row>
    <row r="742" customFormat="false" ht="15" hidden="false" customHeight="false" outlineLevel="0" collapsed="false">
      <c r="A742" s="4" t="n">
        <v>15</v>
      </c>
      <c r="B742" s="4" t="n">
        <v>176</v>
      </c>
      <c r="C742" s="4" t="n">
        <v>197</v>
      </c>
      <c r="D742" s="4" t="n">
        <v>172</v>
      </c>
      <c r="E742" s="6" t="n">
        <v>17.8173336587928</v>
      </c>
      <c r="F742" s="6" t="n">
        <f aca="false">D742+E742</f>
        <v>189.817333658793</v>
      </c>
      <c r="G742" s="6" t="n">
        <f aca="false">F742-C742</f>
        <v>-7.18266634120724</v>
      </c>
      <c r="H742" s="4" t="str">
        <f aca="false">IF(G742&gt;2,"LATE",IF(G742&lt;-13,"EARLY","IN"))</f>
        <v>IN</v>
      </c>
      <c r="I742" s="4" t="n">
        <f aca="false">C742-D742</f>
        <v>25</v>
      </c>
    </row>
    <row r="743" customFormat="false" ht="15" hidden="false" customHeight="false" outlineLevel="0" collapsed="false">
      <c r="A743" s="4" t="n">
        <v>15</v>
      </c>
      <c r="B743" s="4" t="n">
        <v>182</v>
      </c>
      <c r="C743" s="4" t="n">
        <v>220</v>
      </c>
      <c r="D743" s="4" t="n">
        <v>196</v>
      </c>
      <c r="E743" s="6" t="n">
        <v>14.241770508158</v>
      </c>
      <c r="F743" s="6" t="n">
        <f aca="false">D743+E743</f>
        <v>210.241770508158</v>
      </c>
      <c r="G743" s="6" t="n">
        <f aca="false">F743-C743</f>
        <v>-9.758229491842</v>
      </c>
      <c r="H743" s="4" t="str">
        <f aca="false">IF(G743&gt;2,"LATE",IF(G743&lt;-13,"EARLY","IN"))</f>
        <v>IN</v>
      </c>
      <c r="I743" s="4" t="n">
        <f aca="false">C743-D743</f>
        <v>24</v>
      </c>
    </row>
    <row r="744" customFormat="false" ht="15" hidden="false" customHeight="false" outlineLevel="0" collapsed="false">
      <c r="A744" s="4" t="n">
        <v>15</v>
      </c>
      <c r="B744" s="4" t="n">
        <v>183</v>
      </c>
      <c r="C744" s="4" t="n">
        <v>225</v>
      </c>
      <c r="D744" s="4" t="n">
        <v>209</v>
      </c>
      <c r="E744" s="6" t="n">
        <v>14.4698428071522</v>
      </c>
      <c r="F744" s="6" t="n">
        <f aca="false">D744+E744</f>
        <v>223.469842807152</v>
      </c>
      <c r="G744" s="6" t="n">
        <f aca="false">F744-C744</f>
        <v>-1.53015719284781</v>
      </c>
      <c r="H744" s="4" t="str">
        <f aca="false">IF(G744&gt;2,"LATE",IF(G744&lt;-13,"EARLY","IN"))</f>
        <v>IN</v>
      </c>
      <c r="I744" s="4" t="n">
        <f aca="false">C744-D744</f>
        <v>16</v>
      </c>
    </row>
    <row r="745" customFormat="false" ht="15" hidden="false" customHeight="false" outlineLevel="0" collapsed="false">
      <c r="A745" s="4" t="n">
        <v>15</v>
      </c>
      <c r="B745" s="4" t="n">
        <v>188</v>
      </c>
      <c r="C745" s="4" t="n">
        <v>246</v>
      </c>
      <c r="D745" s="4" t="n">
        <v>223</v>
      </c>
      <c r="E745" s="6" t="n">
        <v>12.5778498375567</v>
      </c>
      <c r="F745" s="6" t="n">
        <f aca="false">D745+E745</f>
        <v>235.577849837557</v>
      </c>
      <c r="G745" s="6" t="n">
        <f aca="false">F745-C745</f>
        <v>-10.4221501624433</v>
      </c>
      <c r="H745" s="4" t="str">
        <f aca="false">IF(G745&gt;2,"LATE",IF(G745&lt;-13,"EARLY","IN"))</f>
        <v>IN</v>
      </c>
      <c r="I745" s="4" t="n">
        <f aca="false">C745-D745</f>
        <v>23</v>
      </c>
    </row>
    <row r="746" customFormat="false" ht="15" hidden="false" customHeight="false" outlineLevel="0" collapsed="false">
      <c r="A746" s="4" t="n">
        <v>15</v>
      </c>
      <c r="B746" s="4" t="n">
        <v>194</v>
      </c>
      <c r="C746" s="4" t="n">
        <v>246</v>
      </c>
      <c r="D746" s="4" t="n">
        <v>221</v>
      </c>
      <c r="E746" s="6" t="n">
        <v>14.6825763573867</v>
      </c>
      <c r="F746" s="6" t="n">
        <f aca="false">D746+E746</f>
        <v>235.682576357387</v>
      </c>
      <c r="G746" s="6" t="n">
        <f aca="false">F746-C746</f>
        <v>-10.3174236426133</v>
      </c>
      <c r="H746" s="4" t="str">
        <f aca="false">IF(G746&gt;2,"LATE",IF(G746&lt;-13,"EARLY","IN"))</f>
        <v>IN</v>
      </c>
      <c r="I746" s="4" t="n">
        <f aca="false">C746-D746</f>
        <v>25</v>
      </c>
    </row>
    <row r="747" customFormat="false" ht="15" hidden="false" customHeight="false" outlineLevel="0" collapsed="false">
      <c r="A747" s="4" t="n">
        <v>15</v>
      </c>
      <c r="B747" s="4" t="n">
        <v>199</v>
      </c>
      <c r="C747" s="4" t="n">
        <v>192</v>
      </c>
      <c r="D747" s="4" t="n">
        <v>175</v>
      </c>
      <c r="E747" s="6" t="n">
        <v>12.8230163251488</v>
      </c>
      <c r="F747" s="6" t="n">
        <f aca="false">D747+E747</f>
        <v>187.823016325149</v>
      </c>
      <c r="G747" s="6" t="n">
        <f aca="false">F747-C747</f>
        <v>-4.17698367485124</v>
      </c>
      <c r="H747" s="4" t="str">
        <f aca="false">IF(G747&gt;2,"LATE",IF(G747&lt;-13,"EARLY","IN"))</f>
        <v>IN</v>
      </c>
      <c r="I747" s="4" t="n">
        <f aca="false">C747-D747</f>
        <v>17</v>
      </c>
    </row>
    <row r="748" customFormat="false" ht="15" hidden="false" customHeight="false" outlineLevel="0" collapsed="false">
      <c r="A748" s="4" t="n">
        <v>15</v>
      </c>
      <c r="B748" s="4" t="n">
        <v>204</v>
      </c>
      <c r="C748" s="4" t="n">
        <v>174</v>
      </c>
      <c r="D748" s="4" t="n">
        <v>153</v>
      </c>
      <c r="E748" s="6" t="n">
        <v>17.7772835410828</v>
      </c>
      <c r="F748" s="6" t="n">
        <f aca="false">D748+E748</f>
        <v>170.777283541083</v>
      </c>
      <c r="G748" s="6" t="n">
        <f aca="false">F748-C748</f>
        <v>-3.22271645891721</v>
      </c>
      <c r="H748" s="4" t="str">
        <f aca="false">IF(G748&gt;2,"LATE",IF(G748&lt;-13,"EARLY","IN"))</f>
        <v>IN</v>
      </c>
      <c r="I748" s="4" t="n">
        <f aca="false">C748-D748</f>
        <v>21</v>
      </c>
    </row>
    <row r="749" customFormat="false" ht="15" hidden="false" customHeight="false" outlineLevel="0" collapsed="false">
      <c r="A749" s="4" t="n">
        <v>15</v>
      </c>
      <c r="B749" s="4" t="n">
        <v>212</v>
      </c>
      <c r="C749" s="4" t="n">
        <v>277</v>
      </c>
      <c r="D749" s="4" t="n">
        <v>252</v>
      </c>
      <c r="E749" s="6" t="n">
        <v>15.9398848438142</v>
      </c>
      <c r="F749" s="6" t="n">
        <f aca="false">D749+E749</f>
        <v>267.939884843814</v>
      </c>
      <c r="G749" s="6" t="n">
        <f aca="false">F749-C749</f>
        <v>-9.06011515618582</v>
      </c>
      <c r="H749" s="4" t="str">
        <f aca="false">IF(G749&gt;2,"LATE",IF(G749&lt;-13,"EARLY","IN"))</f>
        <v>IN</v>
      </c>
      <c r="I749" s="4" t="n">
        <f aca="false">C749-D749</f>
        <v>25</v>
      </c>
    </row>
    <row r="750" customFormat="false" ht="15" hidden="false" customHeight="false" outlineLevel="0" collapsed="false">
      <c r="A750" s="4" t="n">
        <v>15</v>
      </c>
      <c r="B750" s="4" t="n">
        <v>213</v>
      </c>
      <c r="C750" s="4" t="n">
        <v>263</v>
      </c>
      <c r="D750" s="4" t="n">
        <v>244</v>
      </c>
      <c r="E750" s="6" t="n">
        <v>13.0255243749932</v>
      </c>
      <c r="F750" s="6" t="n">
        <f aca="false">D750+E750</f>
        <v>257.025524374993</v>
      </c>
      <c r="G750" s="6" t="n">
        <f aca="false">F750-C750</f>
        <v>-5.97447562500685</v>
      </c>
      <c r="H750" s="4" t="str">
        <f aca="false">IF(G750&gt;2,"LATE",IF(G750&lt;-13,"EARLY","IN"))</f>
        <v>IN</v>
      </c>
      <c r="I750" s="4" t="n">
        <f aca="false">C750-D750</f>
        <v>19</v>
      </c>
    </row>
    <row r="751" customFormat="false" ht="15" hidden="false" customHeight="false" outlineLevel="0" collapsed="false">
      <c r="A751" s="4" t="n">
        <v>15</v>
      </c>
      <c r="B751" s="4" t="n">
        <v>215</v>
      </c>
      <c r="C751" s="4" t="n">
        <v>156</v>
      </c>
      <c r="D751" s="4" t="n">
        <v>140</v>
      </c>
      <c r="E751" s="6" t="n">
        <v>12.4709218662414</v>
      </c>
      <c r="F751" s="6" t="n">
        <f aca="false">D751+E751</f>
        <v>152.470921866241</v>
      </c>
      <c r="G751" s="6" t="n">
        <f aca="false">F751-C751</f>
        <v>-3.52907813375856</v>
      </c>
      <c r="H751" s="4" t="str">
        <f aca="false">IF(G751&gt;2,"LATE",IF(G751&lt;-13,"EARLY","IN"))</f>
        <v>IN</v>
      </c>
      <c r="I751" s="4" t="n">
        <f aca="false">C751-D751</f>
        <v>16</v>
      </c>
    </row>
    <row r="752" customFormat="false" ht="15" hidden="false" customHeight="false" outlineLevel="0" collapsed="false">
      <c r="A752" s="4" t="n">
        <v>16</v>
      </c>
      <c r="B752" s="4" t="n">
        <v>3</v>
      </c>
      <c r="C752" s="4" t="n">
        <v>150</v>
      </c>
      <c r="D752" s="4" t="n">
        <v>141</v>
      </c>
      <c r="E752" s="6" t="n">
        <v>10.8401711702964</v>
      </c>
      <c r="F752" s="6" t="n">
        <f aca="false">D752+E752</f>
        <v>151.840171170296</v>
      </c>
      <c r="G752" s="6" t="n">
        <f aca="false">F752-C752</f>
        <v>1.84017117029637</v>
      </c>
      <c r="H752" s="4" t="str">
        <f aca="false">IF(G752&gt;2,"LATE",IF(G752&lt;-13,"EARLY","IN"))</f>
        <v>IN</v>
      </c>
      <c r="I752" s="4" t="n">
        <f aca="false">C752-D752</f>
        <v>9</v>
      </c>
    </row>
    <row r="753" customFormat="false" ht="15" hidden="false" customHeight="false" outlineLevel="0" collapsed="false">
      <c r="A753" s="4" t="n">
        <v>16</v>
      </c>
      <c r="B753" s="4" t="n">
        <v>9</v>
      </c>
      <c r="C753" s="4" t="n">
        <v>181</v>
      </c>
      <c r="D753" s="4" t="n">
        <v>156</v>
      </c>
      <c r="E753" s="6" t="n">
        <v>14.5178383397559</v>
      </c>
      <c r="F753" s="6" t="n">
        <f aca="false">D753+E753</f>
        <v>170.517838339756</v>
      </c>
      <c r="G753" s="6" t="n">
        <f aca="false">F753-C753</f>
        <v>-10.4821616602441</v>
      </c>
      <c r="H753" s="4" t="str">
        <f aca="false">IF(G753&gt;2,"LATE",IF(G753&lt;-13,"EARLY","IN"))</f>
        <v>IN</v>
      </c>
      <c r="I753" s="4" t="n">
        <f aca="false">C753-D753</f>
        <v>25</v>
      </c>
    </row>
    <row r="754" customFormat="false" ht="15" hidden="false" customHeight="false" outlineLevel="0" collapsed="false">
      <c r="A754" s="4" t="n">
        <v>16</v>
      </c>
      <c r="B754" s="4" t="n">
        <v>10</v>
      </c>
      <c r="C754" s="4" t="n">
        <v>228</v>
      </c>
      <c r="D754" s="4" t="n">
        <v>209</v>
      </c>
      <c r="E754" s="6" t="n">
        <v>17.4488114834856</v>
      </c>
      <c r="F754" s="6" t="n">
        <f aca="false">D754+E754</f>
        <v>226.448811483486</v>
      </c>
      <c r="G754" s="6" t="n">
        <f aca="false">F754-C754</f>
        <v>-1.55118851651443</v>
      </c>
      <c r="H754" s="4" t="str">
        <f aca="false">IF(G754&gt;2,"LATE",IF(G754&lt;-13,"EARLY","IN"))</f>
        <v>IN</v>
      </c>
      <c r="I754" s="4" t="n">
        <f aca="false">C754-D754</f>
        <v>19</v>
      </c>
    </row>
    <row r="755" customFormat="false" ht="15" hidden="false" customHeight="false" outlineLevel="0" collapsed="false">
      <c r="A755" s="4" t="n">
        <v>16</v>
      </c>
      <c r="B755" s="4" t="n">
        <v>13</v>
      </c>
      <c r="C755" s="4" t="n">
        <v>210</v>
      </c>
      <c r="D755" s="4" t="n">
        <v>192</v>
      </c>
      <c r="E755" s="6" t="n">
        <v>14.7520255058638</v>
      </c>
      <c r="F755" s="6" t="n">
        <f aca="false">D755+E755</f>
        <v>206.752025505864</v>
      </c>
      <c r="G755" s="6" t="n">
        <f aca="false">F755-C755</f>
        <v>-3.24797449413626</v>
      </c>
      <c r="H755" s="4" t="str">
        <f aca="false">IF(G755&gt;2,"LATE",IF(G755&lt;-13,"EARLY","IN"))</f>
        <v>IN</v>
      </c>
      <c r="I755" s="4" t="n">
        <f aca="false">C755-D755</f>
        <v>18</v>
      </c>
    </row>
    <row r="756" customFormat="false" ht="15" hidden="false" customHeight="false" outlineLevel="0" collapsed="false">
      <c r="A756" s="4" t="n">
        <v>16</v>
      </c>
      <c r="B756" s="4" t="n">
        <v>14</v>
      </c>
      <c r="C756" s="4" t="n">
        <v>147</v>
      </c>
      <c r="D756" s="4" t="n">
        <v>131</v>
      </c>
      <c r="E756" s="6" t="n">
        <v>14.7295023565219</v>
      </c>
      <c r="F756" s="6" t="n">
        <f aca="false">D756+E756</f>
        <v>145.729502356522</v>
      </c>
      <c r="G756" s="6" t="n">
        <f aca="false">F756-C756</f>
        <v>-1.27049764347814</v>
      </c>
      <c r="H756" s="4" t="str">
        <f aca="false">IF(G756&gt;2,"LATE",IF(G756&lt;-13,"EARLY","IN"))</f>
        <v>IN</v>
      </c>
      <c r="I756" s="4" t="n">
        <f aca="false">C756-D756</f>
        <v>16</v>
      </c>
    </row>
    <row r="757" customFormat="false" ht="15" hidden="false" customHeight="false" outlineLevel="0" collapsed="false">
      <c r="A757" s="4" t="n">
        <v>16</v>
      </c>
      <c r="B757" s="4" t="n">
        <v>16</v>
      </c>
      <c r="C757" s="4" t="n">
        <v>172</v>
      </c>
      <c r="D757" s="4" t="n">
        <v>155</v>
      </c>
      <c r="E757" s="6" t="n">
        <v>13.7935718876528</v>
      </c>
      <c r="F757" s="6" t="n">
        <f aca="false">D757+E757</f>
        <v>168.793571887653</v>
      </c>
      <c r="G757" s="6" t="n">
        <f aca="false">F757-C757</f>
        <v>-3.2064281123472</v>
      </c>
      <c r="H757" s="4" t="str">
        <f aca="false">IF(G757&gt;2,"LATE",IF(G757&lt;-13,"EARLY","IN"))</f>
        <v>IN</v>
      </c>
      <c r="I757" s="4" t="n">
        <f aca="false">C757-D757</f>
        <v>17</v>
      </c>
    </row>
    <row r="758" customFormat="false" ht="15" hidden="false" customHeight="false" outlineLevel="0" collapsed="false">
      <c r="A758" s="4" t="n">
        <v>16</v>
      </c>
      <c r="B758" s="4" t="n">
        <v>23</v>
      </c>
      <c r="C758" s="4" t="n">
        <v>213</v>
      </c>
      <c r="D758" s="4" t="n">
        <v>199</v>
      </c>
      <c r="E758" s="6" t="n">
        <v>14.2341300829527</v>
      </c>
      <c r="F758" s="6" t="n">
        <f aca="false">D758+E758</f>
        <v>213.234130082953</v>
      </c>
      <c r="G758" s="6" t="n">
        <f aca="false">F758-C758</f>
        <v>0.234130082952674</v>
      </c>
      <c r="H758" s="4" t="str">
        <f aca="false">IF(G758&gt;2,"LATE",IF(G758&lt;-13,"EARLY","IN"))</f>
        <v>IN</v>
      </c>
      <c r="I758" s="4" t="n">
        <f aca="false">C758-D758</f>
        <v>14</v>
      </c>
    </row>
    <row r="759" customFormat="false" ht="15" hidden="false" customHeight="false" outlineLevel="0" collapsed="false">
      <c r="A759" s="4" t="n">
        <v>16</v>
      </c>
      <c r="B759" s="4" t="n">
        <v>38</v>
      </c>
      <c r="C759" s="4" t="n">
        <v>287</v>
      </c>
      <c r="D759" s="4" t="n">
        <v>267</v>
      </c>
      <c r="E759" s="6" t="n">
        <v>15.8831293862945</v>
      </c>
      <c r="F759" s="6" t="n">
        <f aca="false">D759+E759</f>
        <v>282.883129386295</v>
      </c>
      <c r="G759" s="6" t="n">
        <f aca="false">F759-C759</f>
        <v>-4.11687061370549</v>
      </c>
      <c r="H759" s="4" t="str">
        <f aca="false">IF(G759&gt;2,"LATE",IF(G759&lt;-13,"EARLY","IN"))</f>
        <v>IN</v>
      </c>
      <c r="I759" s="4" t="n">
        <f aca="false">C759-D759</f>
        <v>20</v>
      </c>
    </row>
    <row r="760" customFormat="false" ht="15" hidden="false" customHeight="false" outlineLevel="0" collapsed="false">
      <c r="A760" s="4" t="n">
        <v>16</v>
      </c>
      <c r="B760" s="4" t="n">
        <v>39</v>
      </c>
      <c r="C760" s="4" t="n">
        <v>161</v>
      </c>
      <c r="D760" s="4" t="n">
        <v>142</v>
      </c>
      <c r="E760" s="6" t="n">
        <v>14.84150402846</v>
      </c>
      <c r="F760" s="6" t="n">
        <f aca="false">D760+E760</f>
        <v>156.84150402846</v>
      </c>
      <c r="G760" s="6" t="n">
        <f aca="false">F760-C760</f>
        <v>-4.15849597154005</v>
      </c>
      <c r="H760" s="4" t="str">
        <f aca="false">IF(G760&gt;2,"LATE",IF(G760&lt;-13,"EARLY","IN"))</f>
        <v>IN</v>
      </c>
      <c r="I760" s="4" t="n">
        <f aca="false">C760-D760</f>
        <v>19</v>
      </c>
    </row>
    <row r="761" customFormat="false" ht="15" hidden="false" customHeight="false" outlineLevel="0" collapsed="false">
      <c r="A761" s="4" t="n">
        <v>16</v>
      </c>
      <c r="B761" s="4" t="n">
        <v>43</v>
      </c>
      <c r="C761" s="4" t="n">
        <v>209</v>
      </c>
      <c r="D761" s="4" t="n">
        <v>195</v>
      </c>
      <c r="E761" s="6" t="n">
        <v>16.6977666594431</v>
      </c>
      <c r="F761" s="6" t="n">
        <f aca="false">D761+E761</f>
        <v>211.697766659443</v>
      </c>
      <c r="G761" s="6" t="n">
        <f aca="false">F761-C761</f>
        <v>2.69776665944306</v>
      </c>
      <c r="H761" s="4" t="str">
        <f aca="false">IF(G761&gt;2,"LATE",IF(G761&lt;-13,"EARLY","IN"))</f>
        <v>LATE</v>
      </c>
      <c r="I761" s="4" t="n">
        <f aca="false">C761-D761</f>
        <v>14</v>
      </c>
    </row>
    <row r="762" customFormat="false" ht="15" hidden="false" customHeight="false" outlineLevel="0" collapsed="false">
      <c r="A762" s="4" t="n">
        <v>16</v>
      </c>
      <c r="B762" s="4" t="n">
        <v>45</v>
      </c>
      <c r="C762" s="4" t="n">
        <v>242</v>
      </c>
      <c r="D762" s="4" t="n">
        <v>224</v>
      </c>
      <c r="E762" s="6" t="n">
        <v>15.6992095721862</v>
      </c>
      <c r="F762" s="6" t="n">
        <f aca="false">D762+E762</f>
        <v>239.699209572186</v>
      </c>
      <c r="G762" s="6" t="n">
        <f aca="false">F762-C762</f>
        <v>-2.30079042781381</v>
      </c>
      <c r="H762" s="4" t="str">
        <f aca="false">IF(G762&gt;2,"LATE",IF(G762&lt;-13,"EARLY","IN"))</f>
        <v>IN</v>
      </c>
      <c r="I762" s="4" t="n">
        <f aca="false">C762-D762</f>
        <v>18</v>
      </c>
    </row>
    <row r="763" customFormat="false" ht="15" hidden="false" customHeight="false" outlineLevel="0" collapsed="false">
      <c r="A763" s="4" t="n">
        <v>16</v>
      </c>
      <c r="B763" s="4" t="n">
        <v>47</v>
      </c>
      <c r="C763" s="4" t="n">
        <v>227</v>
      </c>
      <c r="D763" s="4" t="n">
        <v>207</v>
      </c>
      <c r="E763" s="6" t="n">
        <v>14.4553030549833</v>
      </c>
      <c r="F763" s="6" t="n">
        <f aca="false">D763+E763</f>
        <v>221.455303054983</v>
      </c>
      <c r="G763" s="6" t="n">
        <f aca="false">F763-C763</f>
        <v>-5.54469694501674</v>
      </c>
      <c r="H763" s="4" t="str">
        <f aca="false">IF(G763&gt;2,"LATE",IF(G763&lt;-13,"EARLY","IN"))</f>
        <v>IN</v>
      </c>
      <c r="I763" s="4" t="n">
        <f aca="false">C763-D763</f>
        <v>20</v>
      </c>
    </row>
    <row r="764" customFormat="false" ht="15" hidden="false" customHeight="false" outlineLevel="0" collapsed="false">
      <c r="A764" s="4" t="n">
        <v>16</v>
      </c>
      <c r="B764" s="4" t="n">
        <v>52</v>
      </c>
      <c r="C764" s="4" t="n">
        <v>212</v>
      </c>
      <c r="D764" s="4" t="n">
        <v>192</v>
      </c>
      <c r="E764" s="6" t="n">
        <v>14.0283666300963</v>
      </c>
      <c r="F764" s="6" t="n">
        <f aca="false">D764+E764</f>
        <v>206.028366630096</v>
      </c>
      <c r="G764" s="6" t="n">
        <f aca="false">F764-C764</f>
        <v>-5.97163336990371</v>
      </c>
      <c r="H764" s="4" t="str">
        <f aca="false">IF(G764&gt;2,"LATE",IF(G764&lt;-13,"EARLY","IN"))</f>
        <v>IN</v>
      </c>
      <c r="I764" s="4" t="n">
        <f aca="false">C764-D764</f>
        <v>20</v>
      </c>
    </row>
    <row r="765" customFormat="false" ht="15" hidden="false" customHeight="false" outlineLevel="0" collapsed="false">
      <c r="A765" s="4" t="n">
        <v>16</v>
      </c>
      <c r="B765" s="4" t="n">
        <v>55</v>
      </c>
      <c r="C765" s="4" t="n">
        <v>147</v>
      </c>
      <c r="D765" s="4" t="n">
        <v>129</v>
      </c>
      <c r="E765" s="6" t="n">
        <v>15.7907038927133</v>
      </c>
      <c r="F765" s="6" t="n">
        <f aca="false">D765+E765</f>
        <v>144.790703892713</v>
      </c>
      <c r="G765" s="6" t="n">
        <f aca="false">F765-C765</f>
        <v>-2.20929610728669</v>
      </c>
      <c r="H765" s="4" t="str">
        <f aca="false">IF(G765&gt;2,"LATE",IF(G765&lt;-13,"EARLY","IN"))</f>
        <v>IN</v>
      </c>
      <c r="I765" s="4" t="n">
        <f aca="false">C765-D765</f>
        <v>18</v>
      </c>
    </row>
    <row r="766" customFormat="false" ht="15" hidden="false" customHeight="false" outlineLevel="0" collapsed="false">
      <c r="A766" s="4" t="n">
        <v>16</v>
      </c>
      <c r="B766" s="4" t="n">
        <v>59</v>
      </c>
      <c r="C766" s="4" t="n">
        <v>169</v>
      </c>
      <c r="D766" s="4" t="n">
        <v>153</v>
      </c>
      <c r="E766" s="6" t="n">
        <v>14.2076310214785</v>
      </c>
      <c r="F766" s="6" t="n">
        <f aca="false">D766+E766</f>
        <v>167.207631021478</v>
      </c>
      <c r="G766" s="6" t="n">
        <f aca="false">F766-C766</f>
        <v>-1.79236897852152</v>
      </c>
      <c r="H766" s="4" t="str">
        <f aca="false">IF(G766&gt;2,"LATE",IF(G766&lt;-13,"EARLY","IN"))</f>
        <v>IN</v>
      </c>
      <c r="I766" s="4" t="n">
        <f aca="false">C766-D766</f>
        <v>16</v>
      </c>
    </row>
    <row r="767" customFormat="false" ht="15" hidden="false" customHeight="false" outlineLevel="0" collapsed="false">
      <c r="A767" s="4" t="n">
        <v>16</v>
      </c>
      <c r="B767" s="4" t="n">
        <v>62</v>
      </c>
      <c r="C767" s="4" t="n">
        <v>238</v>
      </c>
      <c r="D767" s="4" t="n">
        <v>219</v>
      </c>
      <c r="E767" s="6" t="n">
        <v>13.8299686571551</v>
      </c>
      <c r="F767" s="6" t="n">
        <f aca="false">D767+E767</f>
        <v>232.829968657155</v>
      </c>
      <c r="G767" s="6" t="n">
        <f aca="false">F767-C767</f>
        <v>-5.17003134284494</v>
      </c>
      <c r="H767" s="4" t="str">
        <f aca="false">IF(G767&gt;2,"LATE",IF(G767&lt;-13,"EARLY","IN"))</f>
        <v>IN</v>
      </c>
      <c r="I767" s="4" t="n">
        <f aca="false">C767-D767</f>
        <v>19</v>
      </c>
    </row>
    <row r="768" customFormat="false" ht="15" hidden="false" customHeight="false" outlineLevel="0" collapsed="false">
      <c r="A768" s="4" t="n">
        <v>16</v>
      </c>
      <c r="B768" s="4" t="n">
        <v>68</v>
      </c>
      <c r="C768" s="4" t="n">
        <v>204</v>
      </c>
      <c r="D768" s="4" t="n">
        <v>190</v>
      </c>
      <c r="E768" s="6" t="n">
        <v>12.8796983884535</v>
      </c>
      <c r="F768" s="6" t="n">
        <f aca="false">D768+E768</f>
        <v>202.879698388453</v>
      </c>
      <c r="G768" s="6" t="n">
        <f aca="false">F768-C768</f>
        <v>-1.12030161154652</v>
      </c>
      <c r="H768" s="4" t="str">
        <f aca="false">IF(G768&gt;2,"LATE",IF(G768&lt;-13,"EARLY","IN"))</f>
        <v>IN</v>
      </c>
      <c r="I768" s="4" t="n">
        <f aca="false">C768-D768</f>
        <v>14</v>
      </c>
    </row>
    <row r="769" customFormat="false" ht="15" hidden="false" customHeight="false" outlineLevel="0" collapsed="false">
      <c r="A769" s="4" t="n">
        <v>16</v>
      </c>
      <c r="B769" s="4" t="n">
        <v>74</v>
      </c>
      <c r="C769" s="4" t="n">
        <v>192</v>
      </c>
      <c r="D769" s="4" t="n">
        <v>177</v>
      </c>
      <c r="E769" s="6" t="n">
        <v>12.7847401472298</v>
      </c>
      <c r="F769" s="6" t="n">
        <f aca="false">D769+E769</f>
        <v>189.78474014723</v>
      </c>
      <c r="G769" s="6" t="n">
        <f aca="false">F769-C769</f>
        <v>-2.21525985277023</v>
      </c>
      <c r="H769" s="4" t="str">
        <f aca="false">IF(G769&gt;2,"LATE",IF(G769&lt;-13,"EARLY","IN"))</f>
        <v>IN</v>
      </c>
      <c r="I769" s="4" t="n">
        <f aca="false">C769-D769</f>
        <v>15</v>
      </c>
    </row>
    <row r="770" customFormat="false" ht="15" hidden="false" customHeight="false" outlineLevel="0" collapsed="false">
      <c r="A770" s="4" t="n">
        <v>16</v>
      </c>
      <c r="B770" s="4" t="n">
        <v>76</v>
      </c>
      <c r="C770" s="4" t="n">
        <v>128</v>
      </c>
      <c r="D770" s="4" t="n">
        <v>115</v>
      </c>
      <c r="E770" s="6" t="n">
        <v>14.5811338134484</v>
      </c>
      <c r="F770" s="6" t="n">
        <f aca="false">D770+E770</f>
        <v>129.581133813448</v>
      </c>
      <c r="G770" s="6" t="n">
        <f aca="false">F770-C770</f>
        <v>1.58113381344839</v>
      </c>
      <c r="H770" s="4" t="str">
        <f aca="false">IF(G770&gt;2,"LATE",IF(G770&lt;-13,"EARLY","IN"))</f>
        <v>IN</v>
      </c>
      <c r="I770" s="4" t="n">
        <f aca="false">C770-D770</f>
        <v>13</v>
      </c>
    </row>
    <row r="771" customFormat="false" ht="15" hidden="false" customHeight="false" outlineLevel="0" collapsed="false">
      <c r="A771" s="4" t="n">
        <v>16</v>
      </c>
      <c r="B771" s="4" t="n">
        <v>77</v>
      </c>
      <c r="C771" s="4" t="n">
        <v>174</v>
      </c>
      <c r="D771" s="4" t="n">
        <v>160</v>
      </c>
      <c r="E771" s="6" t="n">
        <v>14.5660257382332</v>
      </c>
      <c r="F771" s="6" t="n">
        <f aca="false">D771+E771</f>
        <v>174.566025738233</v>
      </c>
      <c r="G771" s="6" t="n">
        <f aca="false">F771-C771</f>
        <v>0.566025738233208</v>
      </c>
      <c r="H771" s="4" t="str">
        <f aca="false">IF(G771&gt;2,"LATE",IF(G771&lt;-13,"EARLY","IN"))</f>
        <v>IN</v>
      </c>
      <c r="I771" s="4" t="n">
        <f aca="false">C771-D771</f>
        <v>14</v>
      </c>
    </row>
    <row r="772" customFormat="false" ht="15" hidden="false" customHeight="false" outlineLevel="0" collapsed="false">
      <c r="A772" s="4" t="n">
        <v>16</v>
      </c>
      <c r="B772" s="4" t="n">
        <v>81</v>
      </c>
      <c r="C772" s="4" t="n">
        <v>199</v>
      </c>
      <c r="D772" s="4" t="n">
        <v>180</v>
      </c>
      <c r="E772" s="6" t="n">
        <v>13.4391670717434</v>
      </c>
      <c r="F772" s="6" t="n">
        <f aca="false">D772+E772</f>
        <v>193.439167071743</v>
      </c>
      <c r="G772" s="6" t="n">
        <f aca="false">F772-C772</f>
        <v>-5.56083292825659</v>
      </c>
      <c r="H772" s="4" t="str">
        <f aca="false">IF(G772&gt;2,"LATE",IF(G772&lt;-13,"EARLY","IN"))</f>
        <v>IN</v>
      </c>
      <c r="I772" s="4" t="n">
        <f aca="false">C772-D772</f>
        <v>19</v>
      </c>
    </row>
    <row r="773" customFormat="false" ht="15" hidden="false" customHeight="false" outlineLevel="0" collapsed="false">
      <c r="A773" s="4" t="n">
        <v>16</v>
      </c>
      <c r="B773" s="4" t="n">
        <v>83</v>
      </c>
      <c r="C773" s="4" t="n">
        <v>231</v>
      </c>
      <c r="D773" s="4" t="n">
        <v>214</v>
      </c>
      <c r="E773" s="6" t="n">
        <v>12.3168118052587</v>
      </c>
      <c r="F773" s="6" t="n">
        <f aca="false">D773+E773</f>
        <v>226.316811805259</v>
      </c>
      <c r="G773" s="6" t="n">
        <f aca="false">F773-C773</f>
        <v>-4.68318819474129</v>
      </c>
      <c r="H773" s="4" t="str">
        <f aca="false">IF(G773&gt;2,"LATE",IF(G773&lt;-13,"EARLY","IN"))</f>
        <v>IN</v>
      </c>
      <c r="I773" s="4" t="n">
        <f aca="false">C773-D773</f>
        <v>17</v>
      </c>
    </row>
    <row r="774" customFormat="false" ht="15" hidden="false" customHeight="false" outlineLevel="0" collapsed="false">
      <c r="A774" s="4" t="n">
        <v>16</v>
      </c>
      <c r="B774" s="4" t="n">
        <v>88</v>
      </c>
      <c r="C774" s="4" t="n">
        <v>134</v>
      </c>
      <c r="D774" s="4" t="n">
        <v>118</v>
      </c>
      <c r="E774" s="6" t="n">
        <v>15.7486614699855</v>
      </c>
      <c r="F774" s="6" t="n">
        <f aca="false">D774+E774</f>
        <v>133.748661469986</v>
      </c>
      <c r="G774" s="6" t="n">
        <f aca="false">F774-C774</f>
        <v>-0.251338530014493</v>
      </c>
      <c r="H774" s="4" t="str">
        <f aca="false">IF(G774&gt;2,"LATE",IF(G774&lt;-13,"EARLY","IN"))</f>
        <v>IN</v>
      </c>
      <c r="I774" s="4" t="n">
        <f aca="false">C774-D774</f>
        <v>16</v>
      </c>
    </row>
    <row r="775" customFormat="false" ht="15" hidden="false" customHeight="false" outlineLevel="0" collapsed="false">
      <c r="A775" s="4" t="n">
        <v>16</v>
      </c>
      <c r="B775" s="4" t="n">
        <v>93</v>
      </c>
      <c r="C775" s="4" t="n">
        <v>222</v>
      </c>
      <c r="D775" s="4" t="n">
        <v>205</v>
      </c>
      <c r="E775" s="6" t="n">
        <v>14.4640973356745</v>
      </c>
      <c r="F775" s="6" t="n">
        <f aca="false">D775+E775</f>
        <v>219.464097335674</v>
      </c>
      <c r="G775" s="6" t="n">
        <f aca="false">F775-C775</f>
        <v>-2.53590266432553</v>
      </c>
      <c r="H775" s="4" t="str">
        <f aca="false">IF(G775&gt;2,"LATE",IF(G775&lt;-13,"EARLY","IN"))</f>
        <v>IN</v>
      </c>
      <c r="I775" s="4" t="n">
        <f aca="false">C775-D775</f>
        <v>17</v>
      </c>
    </row>
    <row r="776" customFormat="false" ht="15" hidden="false" customHeight="false" outlineLevel="0" collapsed="false">
      <c r="A776" s="4" t="n">
        <v>16</v>
      </c>
      <c r="B776" s="4" t="n">
        <v>97</v>
      </c>
      <c r="C776" s="4" t="n">
        <v>157</v>
      </c>
      <c r="D776" s="4" t="n">
        <v>137</v>
      </c>
      <c r="E776" s="6" t="n">
        <v>17.3828366305004</v>
      </c>
      <c r="F776" s="6" t="n">
        <f aca="false">D776+E776</f>
        <v>154.3828366305</v>
      </c>
      <c r="G776" s="6" t="n">
        <f aca="false">F776-C776</f>
        <v>-2.61716336949962</v>
      </c>
      <c r="H776" s="4" t="str">
        <f aca="false">IF(G776&gt;2,"LATE",IF(G776&lt;-13,"EARLY","IN"))</f>
        <v>IN</v>
      </c>
      <c r="I776" s="4" t="n">
        <f aca="false">C776-D776</f>
        <v>20</v>
      </c>
    </row>
    <row r="777" customFormat="false" ht="15" hidden="false" customHeight="false" outlineLevel="0" collapsed="false">
      <c r="A777" s="4" t="n">
        <v>16</v>
      </c>
      <c r="B777" s="4" t="n">
        <v>103</v>
      </c>
      <c r="C777" s="4" t="n">
        <v>243</v>
      </c>
      <c r="D777" s="4" t="n">
        <v>229</v>
      </c>
      <c r="E777" s="6" t="n">
        <v>12.35037984547</v>
      </c>
      <c r="F777" s="6" t="n">
        <f aca="false">D777+E777</f>
        <v>241.35037984547</v>
      </c>
      <c r="G777" s="6" t="n">
        <f aca="false">F777-C777</f>
        <v>-1.64962015453006</v>
      </c>
      <c r="H777" s="4" t="str">
        <f aca="false">IF(G777&gt;2,"LATE",IF(G777&lt;-13,"EARLY","IN"))</f>
        <v>IN</v>
      </c>
      <c r="I777" s="4" t="n">
        <f aca="false">C777-D777</f>
        <v>14</v>
      </c>
    </row>
    <row r="778" customFormat="false" ht="15" hidden="false" customHeight="false" outlineLevel="0" collapsed="false">
      <c r="A778" s="4" t="n">
        <v>16</v>
      </c>
      <c r="B778" s="4" t="n">
        <v>107</v>
      </c>
      <c r="C778" s="4" t="n">
        <v>200</v>
      </c>
      <c r="D778" s="4" t="n">
        <v>189</v>
      </c>
      <c r="E778" s="6" t="n">
        <v>12.6418375502674</v>
      </c>
      <c r="F778" s="6" t="n">
        <f aca="false">D778+E778</f>
        <v>201.641837550267</v>
      </c>
      <c r="G778" s="6" t="n">
        <f aca="false">F778-C778</f>
        <v>1.64183755026738</v>
      </c>
      <c r="H778" s="4" t="str">
        <f aca="false">IF(G778&gt;2,"LATE",IF(G778&lt;-13,"EARLY","IN"))</f>
        <v>IN</v>
      </c>
      <c r="I778" s="4" t="n">
        <f aca="false">C778-D778</f>
        <v>11</v>
      </c>
    </row>
    <row r="779" customFormat="false" ht="15" hidden="false" customHeight="false" outlineLevel="0" collapsed="false">
      <c r="A779" s="4" t="n">
        <v>16</v>
      </c>
      <c r="B779" s="4" t="n">
        <v>109</v>
      </c>
      <c r="C779" s="4" t="n">
        <v>160</v>
      </c>
      <c r="D779" s="4" t="n">
        <v>147</v>
      </c>
      <c r="E779" s="6" t="n">
        <v>12.2061390498006</v>
      </c>
      <c r="F779" s="6" t="n">
        <f aca="false">D779+E779</f>
        <v>159.206139049801</v>
      </c>
      <c r="G779" s="6" t="n">
        <f aca="false">F779-C779</f>
        <v>-0.79386095019936</v>
      </c>
      <c r="H779" s="4" t="str">
        <f aca="false">IF(G779&gt;2,"LATE",IF(G779&lt;-13,"EARLY","IN"))</f>
        <v>IN</v>
      </c>
      <c r="I779" s="4" t="n">
        <f aca="false">C779-D779</f>
        <v>13</v>
      </c>
    </row>
    <row r="780" customFormat="false" ht="15" hidden="false" customHeight="false" outlineLevel="0" collapsed="false">
      <c r="A780" s="4" t="n">
        <v>16</v>
      </c>
      <c r="B780" s="4" t="n">
        <v>111</v>
      </c>
      <c r="C780" s="4" t="n">
        <v>227</v>
      </c>
      <c r="D780" s="4" t="n">
        <v>208</v>
      </c>
      <c r="E780" s="6" t="n">
        <v>14.4250992665197</v>
      </c>
      <c r="F780" s="6" t="n">
        <f aca="false">D780+E780</f>
        <v>222.42509926652</v>
      </c>
      <c r="G780" s="6" t="n">
        <f aca="false">F780-C780</f>
        <v>-4.57490073348035</v>
      </c>
      <c r="H780" s="4" t="str">
        <f aca="false">IF(G780&gt;2,"LATE",IF(G780&lt;-13,"EARLY","IN"))</f>
        <v>IN</v>
      </c>
      <c r="I780" s="4" t="n">
        <f aca="false">C780-D780</f>
        <v>19</v>
      </c>
    </row>
    <row r="781" customFormat="false" ht="15" hidden="false" customHeight="false" outlineLevel="0" collapsed="false">
      <c r="A781" s="4" t="n">
        <v>16</v>
      </c>
      <c r="B781" s="4" t="n">
        <v>113</v>
      </c>
      <c r="C781" s="4" t="n">
        <v>160</v>
      </c>
      <c r="D781" s="4" t="n">
        <v>143</v>
      </c>
      <c r="E781" s="6" t="n">
        <v>17.0310794665661</v>
      </c>
      <c r="F781" s="6" t="n">
        <f aca="false">D781+E781</f>
        <v>160.031079466566</v>
      </c>
      <c r="G781" s="6" t="n">
        <f aca="false">F781-C781</f>
        <v>0.031079466566041</v>
      </c>
      <c r="H781" s="4" t="str">
        <f aca="false">IF(G781&gt;2,"LATE",IF(G781&lt;-13,"EARLY","IN"))</f>
        <v>IN</v>
      </c>
      <c r="I781" s="4" t="n">
        <f aca="false">C781-D781</f>
        <v>17</v>
      </c>
    </row>
    <row r="782" customFormat="false" ht="15" hidden="false" customHeight="false" outlineLevel="0" collapsed="false">
      <c r="A782" s="4" t="n">
        <v>16</v>
      </c>
      <c r="B782" s="4" t="n">
        <v>118</v>
      </c>
      <c r="C782" s="4" t="n">
        <v>188</v>
      </c>
      <c r="D782" s="4" t="n">
        <v>168</v>
      </c>
      <c r="E782" s="6" t="n">
        <v>15.1126866646363</v>
      </c>
      <c r="F782" s="6" t="n">
        <f aca="false">D782+E782</f>
        <v>183.112686664636</v>
      </c>
      <c r="G782" s="6" t="n">
        <f aca="false">F782-C782</f>
        <v>-4.88731333536367</v>
      </c>
      <c r="H782" s="4" t="str">
        <f aca="false">IF(G782&gt;2,"LATE",IF(G782&lt;-13,"EARLY","IN"))</f>
        <v>IN</v>
      </c>
      <c r="I782" s="4" t="n">
        <f aca="false">C782-D782</f>
        <v>20</v>
      </c>
    </row>
    <row r="783" customFormat="false" ht="15" hidden="false" customHeight="false" outlineLevel="0" collapsed="false">
      <c r="A783" s="4" t="n">
        <v>16</v>
      </c>
      <c r="B783" s="4" t="n">
        <v>127</v>
      </c>
      <c r="C783" s="4" t="n">
        <v>163</v>
      </c>
      <c r="D783" s="4" t="n">
        <v>145</v>
      </c>
      <c r="E783" s="6" t="n">
        <v>14.2603211691601</v>
      </c>
      <c r="F783" s="6" t="n">
        <f aca="false">D783+E783</f>
        <v>159.26032116916</v>
      </c>
      <c r="G783" s="6" t="n">
        <f aca="false">F783-C783</f>
        <v>-3.73967883083989</v>
      </c>
      <c r="H783" s="4" t="str">
        <f aca="false">IF(G783&gt;2,"LATE",IF(G783&lt;-13,"EARLY","IN"))</f>
        <v>IN</v>
      </c>
      <c r="I783" s="4" t="n">
        <f aca="false">C783-D783</f>
        <v>18</v>
      </c>
    </row>
    <row r="784" customFormat="false" ht="15" hidden="false" customHeight="false" outlineLevel="0" collapsed="false">
      <c r="A784" s="4" t="n">
        <v>16</v>
      </c>
      <c r="B784" s="4" t="n">
        <v>131</v>
      </c>
      <c r="C784" s="4" t="n">
        <v>263</v>
      </c>
      <c r="D784" s="4" t="n">
        <v>236</v>
      </c>
      <c r="E784" s="6" t="n">
        <v>11.7972241831107</v>
      </c>
      <c r="F784" s="6" t="n">
        <f aca="false">D784+E784</f>
        <v>247.797224183111</v>
      </c>
      <c r="G784" s="6" t="n">
        <f aca="false">F784-C784</f>
        <v>-15.2027758168893</v>
      </c>
      <c r="H784" s="4" t="str">
        <f aca="false">IF(G784&gt;2,"LATE",IF(G784&lt;-13,"EARLY","IN"))</f>
        <v>EARLY</v>
      </c>
      <c r="I784" s="4" t="n">
        <f aca="false">C784-D784</f>
        <v>27</v>
      </c>
    </row>
    <row r="785" customFormat="false" ht="15" hidden="false" customHeight="false" outlineLevel="0" collapsed="false">
      <c r="A785" s="4" t="n">
        <v>16</v>
      </c>
      <c r="B785" s="4" t="n">
        <v>137</v>
      </c>
      <c r="C785" s="4" t="n">
        <v>237</v>
      </c>
      <c r="D785" s="4" t="n">
        <v>222</v>
      </c>
      <c r="E785" s="6" t="n">
        <v>15.3882785006433</v>
      </c>
      <c r="F785" s="6" t="n">
        <f aca="false">D785+E785</f>
        <v>237.388278500643</v>
      </c>
      <c r="G785" s="6" t="n">
        <f aca="false">F785-C785</f>
        <v>0.38827850064331</v>
      </c>
      <c r="H785" s="4" t="str">
        <f aca="false">IF(G785&gt;2,"LATE",IF(G785&lt;-13,"EARLY","IN"))</f>
        <v>IN</v>
      </c>
      <c r="I785" s="4" t="n">
        <f aca="false">C785-D785</f>
        <v>15</v>
      </c>
    </row>
    <row r="786" customFormat="false" ht="15" hidden="false" customHeight="false" outlineLevel="0" collapsed="false">
      <c r="A786" s="4" t="n">
        <v>16</v>
      </c>
      <c r="B786" s="4" t="n">
        <v>144</v>
      </c>
      <c r="C786" s="4" t="n">
        <v>272</v>
      </c>
      <c r="D786" s="4" t="n">
        <v>256</v>
      </c>
      <c r="E786" s="6" t="n">
        <v>14.1989890880735</v>
      </c>
      <c r="F786" s="6" t="n">
        <f aca="false">D786+E786</f>
        <v>270.198989088073</v>
      </c>
      <c r="G786" s="6" t="n">
        <f aca="false">F786-C786</f>
        <v>-1.80101091192654</v>
      </c>
      <c r="H786" s="4" t="str">
        <f aca="false">IF(G786&gt;2,"LATE",IF(G786&lt;-13,"EARLY","IN"))</f>
        <v>IN</v>
      </c>
      <c r="I786" s="4" t="n">
        <f aca="false">C786-D786</f>
        <v>16</v>
      </c>
    </row>
    <row r="787" customFormat="false" ht="15" hidden="false" customHeight="false" outlineLevel="0" collapsed="false">
      <c r="A787" s="4" t="n">
        <v>16</v>
      </c>
      <c r="B787" s="4" t="n">
        <v>151</v>
      </c>
      <c r="C787" s="4" t="n">
        <v>317</v>
      </c>
      <c r="D787" s="4" t="n">
        <v>296</v>
      </c>
      <c r="E787" s="6" t="n">
        <v>11.5871658173298</v>
      </c>
      <c r="F787" s="6" t="n">
        <f aca="false">D787+E787</f>
        <v>307.58716581733</v>
      </c>
      <c r="G787" s="6" t="n">
        <f aca="false">F787-C787</f>
        <v>-9.41283418267017</v>
      </c>
      <c r="H787" s="4" t="str">
        <f aca="false">IF(G787&gt;2,"LATE",IF(G787&lt;-13,"EARLY","IN"))</f>
        <v>IN</v>
      </c>
      <c r="I787" s="4" t="n">
        <f aca="false">C787-D787</f>
        <v>21</v>
      </c>
    </row>
    <row r="788" customFormat="false" ht="15" hidden="false" customHeight="false" outlineLevel="0" collapsed="false">
      <c r="A788" s="4" t="n">
        <v>16</v>
      </c>
      <c r="B788" s="4" t="n">
        <v>152</v>
      </c>
      <c r="C788" s="4" t="n">
        <v>213</v>
      </c>
      <c r="D788" s="4" t="n">
        <v>193</v>
      </c>
      <c r="E788" s="6" t="n">
        <v>14.691286326888</v>
      </c>
      <c r="F788" s="6" t="n">
        <f aca="false">D788+E788</f>
        <v>207.691286326888</v>
      </c>
      <c r="G788" s="6" t="n">
        <f aca="false">F788-C788</f>
        <v>-5.30871367311201</v>
      </c>
      <c r="H788" s="4" t="str">
        <f aca="false">IF(G788&gt;2,"LATE",IF(G788&lt;-13,"EARLY","IN"))</f>
        <v>IN</v>
      </c>
      <c r="I788" s="4" t="n">
        <f aca="false">C788-D788</f>
        <v>20</v>
      </c>
    </row>
    <row r="789" customFormat="false" ht="15" hidden="false" customHeight="false" outlineLevel="0" collapsed="false">
      <c r="A789" s="4" t="n">
        <v>16</v>
      </c>
      <c r="B789" s="4" t="n">
        <v>163</v>
      </c>
      <c r="C789" s="4" t="n">
        <v>177</v>
      </c>
      <c r="D789" s="4" t="n">
        <v>163</v>
      </c>
      <c r="E789" s="6" t="n">
        <v>12.8447172289919</v>
      </c>
      <c r="F789" s="6" t="n">
        <f aca="false">D789+E789</f>
        <v>175.844717228992</v>
      </c>
      <c r="G789" s="6" t="n">
        <f aca="false">F789-C789</f>
        <v>-1.15528277100813</v>
      </c>
      <c r="H789" s="4" t="str">
        <f aca="false">IF(G789&gt;2,"LATE",IF(G789&lt;-13,"EARLY","IN"))</f>
        <v>IN</v>
      </c>
      <c r="I789" s="4" t="n">
        <f aca="false">C789-D789</f>
        <v>14</v>
      </c>
    </row>
    <row r="790" customFormat="false" ht="15" hidden="false" customHeight="false" outlineLevel="0" collapsed="false">
      <c r="A790" s="4" t="n">
        <v>16</v>
      </c>
      <c r="B790" s="4" t="n">
        <v>165</v>
      </c>
      <c r="C790" s="4" t="n">
        <v>160</v>
      </c>
      <c r="D790" s="4" t="n">
        <v>145</v>
      </c>
      <c r="E790" s="6" t="n">
        <v>15.0274907332396</v>
      </c>
      <c r="F790" s="6" t="n">
        <f aca="false">D790+E790</f>
        <v>160.02749073324</v>
      </c>
      <c r="G790" s="6" t="n">
        <f aca="false">F790-C790</f>
        <v>0.027490733239631</v>
      </c>
      <c r="H790" s="4" t="str">
        <f aca="false">IF(G790&gt;2,"LATE",IF(G790&lt;-13,"EARLY","IN"))</f>
        <v>IN</v>
      </c>
      <c r="I790" s="4" t="n">
        <f aca="false">C790-D790</f>
        <v>15</v>
      </c>
    </row>
    <row r="791" customFormat="false" ht="15" hidden="false" customHeight="false" outlineLevel="0" collapsed="false">
      <c r="A791" s="4" t="n">
        <v>16</v>
      </c>
      <c r="B791" s="4" t="n">
        <v>171</v>
      </c>
      <c r="C791" s="4" t="n">
        <v>258</v>
      </c>
      <c r="D791" s="4" t="n">
        <v>233</v>
      </c>
      <c r="E791" s="6" t="n">
        <v>16.4065795447868</v>
      </c>
      <c r="F791" s="6" t="n">
        <f aca="false">D791+E791</f>
        <v>249.406579544787</v>
      </c>
      <c r="G791" s="6" t="n">
        <f aca="false">F791-C791</f>
        <v>-8.59342045521316</v>
      </c>
      <c r="H791" s="4" t="str">
        <f aca="false">IF(G791&gt;2,"LATE",IF(G791&lt;-13,"EARLY","IN"))</f>
        <v>IN</v>
      </c>
      <c r="I791" s="4" t="n">
        <f aca="false">C791-D791</f>
        <v>25</v>
      </c>
    </row>
    <row r="792" customFormat="false" ht="15" hidden="false" customHeight="false" outlineLevel="0" collapsed="false">
      <c r="A792" s="4" t="n">
        <v>16</v>
      </c>
      <c r="B792" s="4" t="n">
        <v>172</v>
      </c>
      <c r="C792" s="4" t="n">
        <v>222</v>
      </c>
      <c r="D792" s="4" t="n">
        <v>206</v>
      </c>
      <c r="E792" s="6" t="n">
        <v>16.4088940141418</v>
      </c>
      <c r="F792" s="6" t="n">
        <f aca="false">D792+E792</f>
        <v>222.408894014142</v>
      </c>
      <c r="G792" s="6" t="n">
        <f aca="false">F792-C792</f>
        <v>0.408894014141794</v>
      </c>
      <c r="H792" s="4" t="str">
        <f aca="false">IF(G792&gt;2,"LATE",IF(G792&lt;-13,"EARLY","IN"))</f>
        <v>IN</v>
      </c>
      <c r="I792" s="4" t="n">
        <f aca="false">C792-D792</f>
        <v>16</v>
      </c>
    </row>
    <row r="793" customFormat="false" ht="15" hidden="false" customHeight="false" outlineLevel="0" collapsed="false">
      <c r="A793" s="4" t="n">
        <v>16</v>
      </c>
      <c r="B793" s="4" t="n">
        <v>175</v>
      </c>
      <c r="C793" s="4" t="n">
        <v>278</v>
      </c>
      <c r="D793" s="4" t="n">
        <v>255</v>
      </c>
      <c r="E793" s="6" t="n">
        <v>15.5246312237201</v>
      </c>
      <c r="F793" s="6" t="n">
        <f aca="false">D793+E793</f>
        <v>270.52463122372</v>
      </c>
      <c r="G793" s="6" t="n">
        <f aca="false">F793-C793</f>
        <v>-7.47536877627994</v>
      </c>
      <c r="H793" s="4" t="str">
        <f aca="false">IF(G793&gt;2,"LATE",IF(G793&lt;-13,"EARLY","IN"))</f>
        <v>IN</v>
      </c>
      <c r="I793" s="4" t="n">
        <f aca="false">C793-D793</f>
        <v>23</v>
      </c>
    </row>
    <row r="794" customFormat="false" ht="15" hidden="false" customHeight="false" outlineLevel="0" collapsed="false">
      <c r="A794" s="4" t="n">
        <v>16</v>
      </c>
      <c r="B794" s="4" t="n">
        <v>179</v>
      </c>
      <c r="C794" s="4" t="n">
        <v>223</v>
      </c>
      <c r="D794" s="4" t="n">
        <v>207</v>
      </c>
      <c r="E794" s="6" t="n">
        <v>14.2765962412455</v>
      </c>
      <c r="F794" s="6" t="n">
        <f aca="false">D794+E794</f>
        <v>221.276596241245</v>
      </c>
      <c r="G794" s="6" t="n">
        <f aca="false">F794-C794</f>
        <v>-1.72340375875453</v>
      </c>
      <c r="H794" s="4" t="str">
        <f aca="false">IF(G794&gt;2,"LATE",IF(G794&lt;-13,"EARLY","IN"))</f>
        <v>IN</v>
      </c>
      <c r="I794" s="4" t="n">
        <f aca="false">C794-D794</f>
        <v>16</v>
      </c>
    </row>
    <row r="795" customFormat="false" ht="15" hidden="false" customHeight="false" outlineLevel="0" collapsed="false">
      <c r="A795" s="4" t="n">
        <v>16</v>
      </c>
      <c r="B795" s="4" t="n">
        <v>192</v>
      </c>
      <c r="C795" s="4" t="n">
        <v>176</v>
      </c>
      <c r="D795" s="4" t="n">
        <v>156</v>
      </c>
      <c r="E795" s="6" t="n">
        <v>16.3124438965768</v>
      </c>
      <c r="F795" s="6" t="n">
        <f aca="false">D795+E795</f>
        <v>172.312443896577</v>
      </c>
      <c r="G795" s="6" t="n">
        <f aca="false">F795-C795</f>
        <v>-3.68755610342319</v>
      </c>
      <c r="H795" s="4" t="str">
        <f aca="false">IF(G795&gt;2,"LATE",IF(G795&lt;-13,"EARLY","IN"))</f>
        <v>IN</v>
      </c>
      <c r="I795" s="4" t="n">
        <f aca="false">C795-D795</f>
        <v>20</v>
      </c>
    </row>
    <row r="796" customFormat="false" ht="15" hidden="false" customHeight="false" outlineLevel="0" collapsed="false">
      <c r="A796" s="4" t="n">
        <v>16</v>
      </c>
      <c r="B796" s="4" t="n">
        <v>193</v>
      </c>
      <c r="C796" s="4" t="n">
        <v>223</v>
      </c>
      <c r="D796" s="4" t="n">
        <v>197</v>
      </c>
      <c r="E796" s="6" t="n">
        <v>16.2724953976346</v>
      </c>
      <c r="F796" s="6" t="n">
        <f aca="false">D796+E796</f>
        <v>213.272495397635</v>
      </c>
      <c r="G796" s="6" t="n">
        <f aca="false">F796-C796</f>
        <v>-9.7275046023654</v>
      </c>
      <c r="H796" s="4" t="str">
        <f aca="false">IF(G796&gt;2,"LATE",IF(G796&lt;-13,"EARLY","IN"))</f>
        <v>IN</v>
      </c>
      <c r="I796" s="4" t="n">
        <f aca="false">C796-D796</f>
        <v>26</v>
      </c>
    </row>
    <row r="797" customFormat="false" ht="15" hidden="false" customHeight="false" outlineLevel="0" collapsed="false">
      <c r="A797" s="4" t="n">
        <v>16</v>
      </c>
      <c r="B797" s="4" t="n">
        <v>197</v>
      </c>
      <c r="C797" s="4" t="n">
        <v>157</v>
      </c>
      <c r="D797" s="4" t="n">
        <v>140</v>
      </c>
      <c r="E797" s="6" t="n">
        <v>15.8761228359458</v>
      </c>
      <c r="F797" s="6" t="n">
        <f aca="false">D797+E797</f>
        <v>155.876122835946</v>
      </c>
      <c r="G797" s="6" t="n">
        <f aca="false">F797-C797</f>
        <v>-1.12387716405422</v>
      </c>
      <c r="H797" s="4" t="str">
        <f aca="false">IF(G797&gt;2,"LATE",IF(G797&lt;-13,"EARLY","IN"))</f>
        <v>IN</v>
      </c>
      <c r="I797" s="4" t="n">
        <f aca="false">C797-D797</f>
        <v>17</v>
      </c>
    </row>
    <row r="798" customFormat="false" ht="15" hidden="false" customHeight="false" outlineLevel="0" collapsed="false">
      <c r="A798" s="4" t="n">
        <v>16</v>
      </c>
      <c r="B798" s="4" t="n">
        <v>198</v>
      </c>
      <c r="C798" s="4" t="n">
        <v>137</v>
      </c>
      <c r="D798" s="4" t="n">
        <v>119</v>
      </c>
      <c r="E798" s="6" t="n">
        <v>14.7312578100113</v>
      </c>
      <c r="F798" s="6" t="n">
        <f aca="false">D798+E798</f>
        <v>133.731257810011</v>
      </c>
      <c r="G798" s="6" t="n">
        <f aca="false">F798-C798</f>
        <v>-3.26874218998876</v>
      </c>
      <c r="H798" s="4" t="str">
        <f aca="false">IF(G798&gt;2,"LATE",IF(G798&lt;-13,"EARLY","IN"))</f>
        <v>IN</v>
      </c>
      <c r="I798" s="4" t="n">
        <f aca="false">C798-D798</f>
        <v>18</v>
      </c>
    </row>
    <row r="799" customFormat="false" ht="15" hidden="false" customHeight="false" outlineLevel="0" collapsed="false">
      <c r="A799" s="4" t="n">
        <v>16</v>
      </c>
      <c r="B799" s="4" t="n">
        <v>200</v>
      </c>
      <c r="C799" s="4" t="n">
        <v>182</v>
      </c>
      <c r="D799" s="4" t="n">
        <v>162</v>
      </c>
      <c r="E799" s="6" t="n">
        <v>14.7943243988095</v>
      </c>
      <c r="F799" s="6" t="n">
        <f aca="false">D799+E799</f>
        <v>176.79432439881</v>
      </c>
      <c r="G799" s="6" t="n">
        <f aca="false">F799-C799</f>
        <v>-5.20567560119051</v>
      </c>
      <c r="H799" s="4" t="str">
        <f aca="false">IF(G799&gt;2,"LATE",IF(G799&lt;-13,"EARLY","IN"))</f>
        <v>IN</v>
      </c>
      <c r="I799" s="4" t="n">
        <f aca="false">C799-D799</f>
        <v>20</v>
      </c>
    </row>
    <row r="800" customFormat="false" ht="15" hidden="false" customHeight="false" outlineLevel="0" collapsed="false">
      <c r="A800" s="4" t="n">
        <v>16</v>
      </c>
      <c r="B800" s="4" t="n">
        <v>202</v>
      </c>
      <c r="C800" s="4" t="n">
        <v>236</v>
      </c>
      <c r="D800" s="4" t="n">
        <v>214</v>
      </c>
      <c r="E800" s="6" t="n">
        <v>16.5513304883467</v>
      </c>
      <c r="F800" s="6" t="n">
        <f aca="false">D800+E800</f>
        <v>230.551330488347</v>
      </c>
      <c r="G800" s="6" t="n">
        <f aca="false">F800-C800</f>
        <v>-5.44866951165332</v>
      </c>
      <c r="H800" s="4" t="str">
        <f aca="false">IF(G800&gt;2,"LATE",IF(G800&lt;-13,"EARLY","IN"))</f>
        <v>IN</v>
      </c>
      <c r="I800" s="4" t="n">
        <f aca="false">C800-D800</f>
        <v>22</v>
      </c>
    </row>
    <row r="801" customFormat="false" ht="15" hidden="false" customHeight="false" outlineLevel="0" collapsed="false">
      <c r="A801" s="4" t="n">
        <v>16</v>
      </c>
      <c r="B801" s="4" t="n">
        <v>211</v>
      </c>
      <c r="C801" s="4" t="n">
        <v>211</v>
      </c>
      <c r="D801" s="4" t="n">
        <v>197</v>
      </c>
      <c r="E801" s="6" t="n">
        <v>14.3348924387193</v>
      </c>
      <c r="F801" s="6" t="n">
        <f aca="false">D801+E801</f>
        <v>211.334892438719</v>
      </c>
      <c r="G801" s="6" t="n">
        <f aca="false">F801-C801</f>
        <v>0.334892438719265</v>
      </c>
      <c r="H801" s="4" t="str">
        <f aca="false">IF(G801&gt;2,"LATE",IF(G801&lt;-13,"EARLY","IN"))</f>
        <v>IN</v>
      </c>
      <c r="I801" s="4" t="n">
        <f aca="false">C801-D801</f>
        <v>14</v>
      </c>
    </row>
    <row r="802" customFormat="false" ht="15" hidden="false" customHeight="false" outlineLevel="0" collapsed="false">
      <c r="A802" s="4" t="n">
        <v>17</v>
      </c>
      <c r="B802" s="4" t="n">
        <v>8</v>
      </c>
      <c r="C802" s="4" t="n">
        <v>276</v>
      </c>
      <c r="D802" s="4" t="n">
        <v>261</v>
      </c>
      <c r="E802" s="6" t="n">
        <v>14.9751165914711</v>
      </c>
      <c r="F802" s="6" t="n">
        <f aca="false">D802+E802</f>
        <v>275.975116591471</v>
      </c>
      <c r="G802" s="6" t="n">
        <f aca="false">F802-C802</f>
        <v>-0.0248834085289218</v>
      </c>
      <c r="H802" s="4" t="str">
        <f aca="false">IF(G802&gt;2,"LATE",IF(G802&lt;-13,"EARLY","IN"))</f>
        <v>IN</v>
      </c>
      <c r="I802" s="4" t="n">
        <f aca="false">C802-D802</f>
        <v>15</v>
      </c>
    </row>
    <row r="803" customFormat="false" ht="15" hidden="false" customHeight="false" outlineLevel="0" collapsed="false">
      <c r="A803" s="4" t="n">
        <v>17</v>
      </c>
      <c r="B803" s="4" t="n">
        <v>9</v>
      </c>
      <c r="C803" s="4" t="n">
        <v>181</v>
      </c>
      <c r="D803" s="4" t="n">
        <v>156</v>
      </c>
      <c r="E803" s="6" t="n">
        <v>12.5616306917487</v>
      </c>
      <c r="F803" s="6" t="n">
        <f aca="false">D803+E803</f>
        <v>168.561630691749</v>
      </c>
      <c r="G803" s="6" t="n">
        <f aca="false">F803-C803</f>
        <v>-12.4383693082513</v>
      </c>
      <c r="H803" s="4" t="str">
        <f aca="false">IF(G803&gt;2,"LATE",IF(G803&lt;-13,"EARLY","IN"))</f>
        <v>IN</v>
      </c>
      <c r="I803" s="4" t="n">
        <f aca="false">C803-D803</f>
        <v>25</v>
      </c>
    </row>
    <row r="804" customFormat="false" ht="15" hidden="false" customHeight="false" outlineLevel="0" collapsed="false">
      <c r="A804" s="4" t="n">
        <v>17</v>
      </c>
      <c r="B804" s="4" t="n">
        <v>11</v>
      </c>
      <c r="C804" s="4" t="n">
        <v>210</v>
      </c>
      <c r="D804" s="4" t="n">
        <v>184</v>
      </c>
      <c r="E804" s="6" t="n">
        <v>16.6649448775869</v>
      </c>
      <c r="F804" s="6" t="n">
        <f aca="false">D804+E804</f>
        <v>200.664944877587</v>
      </c>
      <c r="G804" s="6" t="n">
        <f aca="false">F804-C804</f>
        <v>-9.33505512241314</v>
      </c>
      <c r="H804" s="4" t="str">
        <f aca="false">IF(G804&gt;2,"LATE",IF(G804&lt;-13,"EARLY","IN"))</f>
        <v>IN</v>
      </c>
      <c r="I804" s="4" t="n">
        <f aca="false">C804-D804</f>
        <v>26</v>
      </c>
    </row>
    <row r="805" customFormat="false" ht="15" hidden="false" customHeight="false" outlineLevel="0" collapsed="false">
      <c r="A805" s="4" t="n">
        <v>17</v>
      </c>
      <c r="B805" s="4" t="n">
        <v>13</v>
      </c>
      <c r="C805" s="4" t="n">
        <v>210</v>
      </c>
      <c r="D805" s="4" t="n">
        <v>193</v>
      </c>
      <c r="E805" s="6" t="n">
        <v>14.092201882497</v>
      </c>
      <c r="F805" s="6" t="n">
        <f aca="false">D805+E805</f>
        <v>207.092201882497</v>
      </c>
      <c r="G805" s="6" t="n">
        <f aca="false">F805-C805</f>
        <v>-2.90779811750301</v>
      </c>
      <c r="H805" s="4" t="str">
        <f aca="false">IF(G805&gt;2,"LATE",IF(G805&lt;-13,"EARLY","IN"))</f>
        <v>IN</v>
      </c>
      <c r="I805" s="4" t="n">
        <f aca="false">C805-D805</f>
        <v>17</v>
      </c>
    </row>
    <row r="806" customFormat="false" ht="15" hidden="false" customHeight="false" outlineLevel="0" collapsed="false">
      <c r="A806" s="4" t="n">
        <v>17</v>
      </c>
      <c r="B806" s="4" t="n">
        <v>15</v>
      </c>
      <c r="C806" s="4" t="n">
        <v>178</v>
      </c>
      <c r="D806" s="4" t="n">
        <v>164</v>
      </c>
      <c r="E806" s="6" t="n">
        <v>11.9416538400704</v>
      </c>
      <c r="F806" s="6" t="n">
        <f aca="false">D806+E806</f>
        <v>175.94165384007</v>
      </c>
      <c r="G806" s="6" t="n">
        <f aca="false">F806-C806</f>
        <v>-2.05834615992964</v>
      </c>
      <c r="H806" s="4" t="str">
        <f aca="false">IF(G806&gt;2,"LATE",IF(G806&lt;-13,"EARLY","IN"))</f>
        <v>IN</v>
      </c>
      <c r="I806" s="4" t="n">
        <f aca="false">C806-D806</f>
        <v>14</v>
      </c>
    </row>
    <row r="807" customFormat="false" ht="15" hidden="false" customHeight="false" outlineLevel="0" collapsed="false">
      <c r="A807" s="4" t="n">
        <v>17</v>
      </c>
      <c r="B807" s="4" t="n">
        <v>23</v>
      </c>
      <c r="C807" s="4" t="n">
        <v>213</v>
      </c>
      <c r="D807" s="4" t="n">
        <v>192</v>
      </c>
      <c r="E807" s="6" t="n">
        <v>17.483567029692</v>
      </c>
      <c r="F807" s="6" t="n">
        <f aca="false">D807+E807</f>
        <v>209.483567029692</v>
      </c>
      <c r="G807" s="6" t="n">
        <f aca="false">F807-C807</f>
        <v>-3.51643297030796</v>
      </c>
      <c r="H807" s="4" t="str">
        <f aca="false">IF(G807&gt;2,"LATE",IF(G807&lt;-13,"EARLY","IN"))</f>
        <v>IN</v>
      </c>
      <c r="I807" s="4" t="n">
        <f aca="false">C807-D807</f>
        <v>21</v>
      </c>
    </row>
    <row r="808" customFormat="false" ht="15" hidden="false" customHeight="false" outlineLevel="0" collapsed="false">
      <c r="A808" s="4" t="n">
        <v>17</v>
      </c>
      <c r="B808" s="4" t="n">
        <v>29</v>
      </c>
      <c r="C808" s="4" t="n">
        <v>228</v>
      </c>
      <c r="D808" s="4" t="n">
        <v>211</v>
      </c>
      <c r="E808" s="6" t="n">
        <v>16.1737138965578</v>
      </c>
      <c r="F808" s="6" t="n">
        <f aca="false">D808+E808</f>
        <v>227.173713896558</v>
      </c>
      <c r="G808" s="6" t="n">
        <f aca="false">F808-C808</f>
        <v>-0.826286103442214</v>
      </c>
      <c r="H808" s="4" t="str">
        <f aca="false">IF(G808&gt;2,"LATE",IF(G808&lt;-13,"EARLY","IN"))</f>
        <v>IN</v>
      </c>
      <c r="I808" s="4" t="n">
        <f aca="false">C808-D808</f>
        <v>17</v>
      </c>
    </row>
    <row r="809" customFormat="false" ht="15" hidden="false" customHeight="false" outlineLevel="0" collapsed="false">
      <c r="A809" s="4" t="n">
        <v>17</v>
      </c>
      <c r="B809" s="4" t="n">
        <v>37</v>
      </c>
      <c r="C809" s="4" t="n">
        <v>177</v>
      </c>
      <c r="D809" s="4" t="n">
        <v>156</v>
      </c>
      <c r="E809" s="6" t="n">
        <v>15.7814287149482</v>
      </c>
      <c r="F809" s="6" t="n">
        <f aca="false">D809+E809</f>
        <v>171.781428714948</v>
      </c>
      <c r="G809" s="6" t="n">
        <f aca="false">F809-C809</f>
        <v>-5.21857128505178</v>
      </c>
      <c r="H809" s="4" t="str">
        <f aca="false">IF(G809&gt;2,"LATE",IF(G809&lt;-13,"EARLY","IN"))</f>
        <v>IN</v>
      </c>
      <c r="I809" s="4" t="n">
        <f aca="false">C809-D809</f>
        <v>21</v>
      </c>
    </row>
    <row r="810" customFormat="false" ht="15" hidden="false" customHeight="false" outlineLevel="0" collapsed="false">
      <c r="A810" s="4" t="n">
        <v>17</v>
      </c>
      <c r="B810" s="4" t="n">
        <v>44</v>
      </c>
      <c r="C810" s="4" t="n">
        <v>233</v>
      </c>
      <c r="D810" s="4" t="n">
        <v>218</v>
      </c>
      <c r="E810" s="6" t="n">
        <v>17.8652331163381</v>
      </c>
      <c r="F810" s="6" t="n">
        <f aca="false">D810+E810</f>
        <v>235.865233116338</v>
      </c>
      <c r="G810" s="6" t="n">
        <f aca="false">F810-C810</f>
        <v>2.86523311633809</v>
      </c>
      <c r="H810" s="4" t="str">
        <f aca="false">IF(G810&gt;2,"LATE",IF(G810&lt;-13,"EARLY","IN"))</f>
        <v>LATE</v>
      </c>
      <c r="I810" s="4" t="n">
        <f aca="false">C810-D810</f>
        <v>15</v>
      </c>
    </row>
    <row r="811" customFormat="false" ht="15" hidden="false" customHeight="false" outlineLevel="0" collapsed="false">
      <c r="A811" s="4" t="n">
        <v>17</v>
      </c>
      <c r="B811" s="4" t="n">
        <v>50</v>
      </c>
      <c r="C811" s="4" t="n">
        <v>223</v>
      </c>
      <c r="D811" s="4" t="n">
        <v>205</v>
      </c>
      <c r="E811" s="6" t="n">
        <v>13.3714336163982</v>
      </c>
      <c r="F811" s="6" t="n">
        <f aca="false">D811+E811</f>
        <v>218.371433616398</v>
      </c>
      <c r="G811" s="6" t="n">
        <f aca="false">F811-C811</f>
        <v>-4.62856638360182</v>
      </c>
      <c r="H811" s="4" t="str">
        <f aca="false">IF(G811&gt;2,"LATE",IF(G811&lt;-13,"EARLY","IN"))</f>
        <v>IN</v>
      </c>
      <c r="I811" s="4" t="n">
        <f aca="false">C811-D811</f>
        <v>18</v>
      </c>
    </row>
    <row r="812" customFormat="false" ht="15" hidden="false" customHeight="false" outlineLevel="0" collapsed="false">
      <c r="A812" s="4" t="n">
        <v>17</v>
      </c>
      <c r="B812" s="4" t="n">
        <v>58</v>
      </c>
      <c r="C812" s="4" t="n">
        <v>147</v>
      </c>
      <c r="D812" s="4" t="n">
        <v>132</v>
      </c>
      <c r="E812" s="6" t="n">
        <v>14.114971037667</v>
      </c>
      <c r="F812" s="6" t="n">
        <f aca="false">D812+E812</f>
        <v>146.114971037667</v>
      </c>
      <c r="G812" s="6" t="n">
        <f aca="false">F812-C812</f>
        <v>-0.885028962332967</v>
      </c>
      <c r="H812" s="4" t="str">
        <f aca="false">IF(G812&gt;2,"LATE",IF(G812&lt;-13,"EARLY","IN"))</f>
        <v>IN</v>
      </c>
      <c r="I812" s="4" t="n">
        <f aca="false">C812-D812</f>
        <v>15</v>
      </c>
    </row>
    <row r="813" customFormat="false" ht="15" hidden="false" customHeight="false" outlineLevel="0" collapsed="false">
      <c r="A813" s="4" t="n">
        <v>17</v>
      </c>
      <c r="B813" s="4" t="n">
        <v>59</v>
      </c>
      <c r="C813" s="4" t="n">
        <v>169</v>
      </c>
      <c r="D813" s="4" t="n">
        <v>152</v>
      </c>
      <c r="E813" s="6" t="n">
        <v>13.8186658244841</v>
      </c>
      <c r="F813" s="6" t="n">
        <f aca="false">D813+E813</f>
        <v>165.818665824484</v>
      </c>
      <c r="G813" s="6" t="n">
        <f aca="false">F813-C813</f>
        <v>-3.18133417551593</v>
      </c>
      <c r="H813" s="4" t="str">
        <f aca="false">IF(G813&gt;2,"LATE",IF(G813&lt;-13,"EARLY","IN"))</f>
        <v>IN</v>
      </c>
      <c r="I813" s="4" t="n">
        <f aca="false">C813-D813</f>
        <v>17</v>
      </c>
    </row>
    <row r="814" customFormat="false" ht="15" hidden="false" customHeight="false" outlineLevel="0" collapsed="false">
      <c r="A814" s="4" t="n">
        <v>17</v>
      </c>
      <c r="B814" s="4" t="n">
        <v>64</v>
      </c>
      <c r="C814" s="4" t="n">
        <v>154</v>
      </c>
      <c r="D814" s="4" t="n">
        <v>141</v>
      </c>
      <c r="E814" s="6" t="n">
        <v>15.7891343261123</v>
      </c>
      <c r="F814" s="6" t="n">
        <f aca="false">D814+E814</f>
        <v>156.789134326112</v>
      </c>
      <c r="G814" s="6" t="n">
        <f aca="false">F814-C814</f>
        <v>2.78913432611228</v>
      </c>
      <c r="H814" s="4" t="str">
        <f aca="false">IF(G814&gt;2,"LATE",IF(G814&lt;-13,"EARLY","IN"))</f>
        <v>LATE</v>
      </c>
      <c r="I814" s="4" t="n">
        <f aca="false">C814-D814</f>
        <v>13</v>
      </c>
    </row>
    <row r="815" customFormat="false" ht="15" hidden="false" customHeight="false" outlineLevel="0" collapsed="false">
      <c r="A815" s="4" t="n">
        <v>17</v>
      </c>
      <c r="B815" s="4" t="n">
        <v>69</v>
      </c>
      <c r="C815" s="4" t="n">
        <v>170</v>
      </c>
      <c r="D815" s="4" t="n">
        <v>157</v>
      </c>
      <c r="E815" s="6" t="n">
        <v>12.3600520410093</v>
      </c>
      <c r="F815" s="6" t="n">
        <f aca="false">D815+E815</f>
        <v>169.360052041009</v>
      </c>
      <c r="G815" s="6" t="n">
        <f aca="false">F815-C815</f>
        <v>-0.639947958990717</v>
      </c>
      <c r="H815" s="4" t="str">
        <f aca="false">IF(G815&gt;2,"LATE",IF(G815&lt;-13,"EARLY","IN"))</f>
        <v>IN</v>
      </c>
      <c r="I815" s="4" t="n">
        <f aca="false">C815-D815</f>
        <v>13</v>
      </c>
    </row>
    <row r="816" customFormat="false" ht="15" hidden="false" customHeight="false" outlineLevel="0" collapsed="false">
      <c r="A816" s="4" t="n">
        <v>17</v>
      </c>
      <c r="B816" s="4" t="n">
        <v>72</v>
      </c>
      <c r="C816" s="4" t="n">
        <v>235</v>
      </c>
      <c r="D816" s="4" t="n">
        <v>211</v>
      </c>
      <c r="E816" s="6" t="n">
        <v>16.0701072791653</v>
      </c>
      <c r="F816" s="6" t="n">
        <f aca="false">D816+E816</f>
        <v>227.070107279165</v>
      </c>
      <c r="G816" s="6" t="n">
        <f aca="false">F816-C816</f>
        <v>-7.92989272083466</v>
      </c>
      <c r="H816" s="4" t="str">
        <f aca="false">IF(G816&gt;2,"LATE",IF(G816&lt;-13,"EARLY","IN"))</f>
        <v>IN</v>
      </c>
      <c r="I816" s="4" t="n">
        <f aca="false">C816-D816</f>
        <v>24</v>
      </c>
    </row>
    <row r="817" customFormat="false" ht="15" hidden="false" customHeight="false" outlineLevel="0" collapsed="false">
      <c r="A817" s="4" t="n">
        <v>17</v>
      </c>
      <c r="B817" s="4" t="n">
        <v>75</v>
      </c>
      <c r="C817" s="4" t="n">
        <v>186</v>
      </c>
      <c r="D817" s="4" t="n">
        <v>167</v>
      </c>
      <c r="E817" s="6" t="n">
        <v>15.8604581908989</v>
      </c>
      <c r="F817" s="6" t="n">
        <f aca="false">D817+E817</f>
        <v>182.860458190899</v>
      </c>
      <c r="G817" s="6" t="n">
        <f aca="false">F817-C817</f>
        <v>-3.13954180910116</v>
      </c>
      <c r="H817" s="4" t="str">
        <f aca="false">IF(G817&gt;2,"LATE",IF(G817&lt;-13,"EARLY","IN"))</f>
        <v>IN</v>
      </c>
      <c r="I817" s="4" t="n">
        <f aca="false">C817-D817</f>
        <v>19</v>
      </c>
    </row>
    <row r="818" customFormat="false" ht="15" hidden="false" customHeight="false" outlineLevel="0" collapsed="false">
      <c r="A818" s="4" t="n">
        <v>17</v>
      </c>
      <c r="B818" s="4" t="n">
        <v>76</v>
      </c>
      <c r="C818" s="4" t="n">
        <v>128</v>
      </c>
      <c r="D818" s="4" t="n">
        <v>116</v>
      </c>
      <c r="E818" s="6" t="n">
        <v>12.9334303926033</v>
      </c>
      <c r="F818" s="6" t="n">
        <f aca="false">D818+E818</f>
        <v>128.933430392603</v>
      </c>
      <c r="G818" s="6" t="n">
        <f aca="false">F818-C818</f>
        <v>0.933430392603327</v>
      </c>
      <c r="H818" s="4" t="str">
        <f aca="false">IF(G818&gt;2,"LATE",IF(G818&lt;-13,"EARLY","IN"))</f>
        <v>IN</v>
      </c>
      <c r="I818" s="4" t="n">
        <f aca="false">C818-D818</f>
        <v>12</v>
      </c>
    </row>
    <row r="819" customFormat="false" ht="15" hidden="false" customHeight="false" outlineLevel="0" collapsed="false">
      <c r="A819" s="4" t="n">
        <v>17</v>
      </c>
      <c r="B819" s="4" t="n">
        <v>82</v>
      </c>
      <c r="C819" s="4" t="n">
        <v>223</v>
      </c>
      <c r="D819" s="4" t="n">
        <v>211</v>
      </c>
      <c r="E819" s="6" t="n">
        <v>14.3247150929509</v>
      </c>
      <c r="F819" s="6" t="n">
        <f aca="false">D819+E819</f>
        <v>225.324715092951</v>
      </c>
      <c r="G819" s="6" t="n">
        <f aca="false">F819-C819</f>
        <v>2.32471509295087</v>
      </c>
      <c r="H819" s="4" t="str">
        <f aca="false">IF(G819&gt;2,"LATE",IF(G819&lt;-13,"EARLY","IN"))</f>
        <v>LATE</v>
      </c>
      <c r="I819" s="4" t="n">
        <f aca="false">C819-D819</f>
        <v>12</v>
      </c>
    </row>
    <row r="820" customFormat="false" ht="15" hidden="false" customHeight="false" outlineLevel="0" collapsed="false">
      <c r="A820" s="4" t="n">
        <v>17</v>
      </c>
      <c r="B820" s="4" t="n">
        <v>87</v>
      </c>
      <c r="C820" s="4" t="n">
        <v>177</v>
      </c>
      <c r="D820" s="4" t="n">
        <v>160</v>
      </c>
      <c r="E820" s="6" t="n">
        <v>11.9247694171346</v>
      </c>
      <c r="F820" s="6" t="n">
        <f aca="false">D820+E820</f>
        <v>171.924769417135</v>
      </c>
      <c r="G820" s="6" t="n">
        <f aca="false">F820-C820</f>
        <v>-5.07523058286543</v>
      </c>
      <c r="H820" s="4" t="str">
        <f aca="false">IF(G820&gt;2,"LATE",IF(G820&lt;-13,"EARLY","IN"))</f>
        <v>IN</v>
      </c>
      <c r="I820" s="4" t="n">
        <f aca="false">C820-D820</f>
        <v>17</v>
      </c>
    </row>
    <row r="821" customFormat="false" ht="15" hidden="false" customHeight="false" outlineLevel="0" collapsed="false">
      <c r="A821" s="4" t="n">
        <v>17</v>
      </c>
      <c r="B821" s="4" t="n">
        <v>93</v>
      </c>
      <c r="C821" s="4" t="n">
        <v>222</v>
      </c>
      <c r="D821" s="4" t="n">
        <v>204</v>
      </c>
      <c r="E821" s="6" t="n">
        <v>14.4733148035028</v>
      </c>
      <c r="F821" s="6" t="n">
        <f aca="false">D821+E821</f>
        <v>218.473314803503</v>
      </c>
      <c r="G821" s="6" t="n">
        <f aca="false">F821-C821</f>
        <v>-3.52668519649723</v>
      </c>
      <c r="H821" s="4" t="str">
        <f aca="false">IF(G821&gt;2,"LATE",IF(G821&lt;-13,"EARLY","IN"))</f>
        <v>IN</v>
      </c>
      <c r="I821" s="4" t="n">
        <f aca="false">C821-D821</f>
        <v>18</v>
      </c>
    </row>
    <row r="822" customFormat="false" ht="15" hidden="false" customHeight="false" outlineLevel="0" collapsed="false">
      <c r="A822" s="4" t="n">
        <v>17</v>
      </c>
      <c r="B822" s="4" t="n">
        <v>96</v>
      </c>
      <c r="C822" s="4" t="n">
        <v>339</v>
      </c>
      <c r="D822" s="4" t="n">
        <v>309</v>
      </c>
      <c r="E822" s="6" t="n">
        <v>16.7781037451877</v>
      </c>
      <c r="F822" s="6" t="n">
        <f aca="false">D822+E822</f>
        <v>325.778103745188</v>
      </c>
      <c r="G822" s="6" t="n">
        <f aca="false">F822-C822</f>
        <v>-13.2218962548123</v>
      </c>
      <c r="H822" s="4" t="str">
        <f aca="false">IF(G822&gt;2,"LATE",IF(G822&lt;-13,"EARLY","IN"))</f>
        <v>EARLY</v>
      </c>
      <c r="I822" s="4" t="n">
        <f aca="false">C822-D822</f>
        <v>30</v>
      </c>
    </row>
    <row r="823" customFormat="false" ht="15" hidden="false" customHeight="false" outlineLevel="0" collapsed="false">
      <c r="A823" s="4" t="n">
        <v>17</v>
      </c>
      <c r="B823" s="4" t="n">
        <v>106</v>
      </c>
      <c r="C823" s="4" t="n">
        <v>189</v>
      </c>
      <c r="D823" s="4" t="n">
        <v>173</v>
      </c>
      <c r="E823" s="6" t="n">
        <v>11.3517936009018</v>
      </c>
      <c r="F823" s="6" t="n">
        <f aca="false">D823+E823</f>
        <v>184.351793600902</v>
      </c>
      <c r="G823" s="6" t="n">
        <f aca="false">F823-C823</f>
        <v>-4.64820639909817</v>
      </c>
      <c r="H823" s="4" t="str">
        <f aca="false">IF(G823&gt;2,"LATE",IF(G823&lt;-13,"EARLY","IN"))</f>
        <v>IN</v>
      </c>
      <c r="I823" s="4" t="n">
        <f aca="false">C823-D823</f>
        <v>16</v>
      </c>
    </row>
    <row r="824" customFormat="false" ht="15" hidden="false" customHeight="false" outlineLevel="0" collapsed="false">
      <c r="A824" s="4" t="n">
        <v>17</v>
      </c>
      <c r="B824" s="4" t="n">
        <v>108</v>
      </c>
      <c r="C824" s="4" t="n">
        <v>230</v>
      </c>
      <c r="D824" s="4" t="n">
        <v>208</v>
      </c>
      <c r="E824" s="6" t="n">
        <v>14.2811614833978</v>
      </c>
      <c r="F824" s="6" t="n">
        <f aca="false">D824+E824</f>
        <v>222.281161483398</v>
      </c>
      <c r="G824" s="6" t="n">
        <f aca="false">F824-C824</f>
        <v>-7.71883851660223</v>
      </c>
      <c r="H824" s="4" t="str">
        <f aca="false">IF(G824&gt;2,"LATE",IF(G824&lt;-13,"EARLY","IN"))</f>
        <v>IN</v>
      </c>
      <c r="I824" s="4" t="n">
        <f aca="false">C824-D824</f>
        <v>22</v>
      </c>
    </row>
    <row r="825" customFormat="false" ht="15" hidden="false" customHeight="false" outlineLevel="0" collapsed="false">
      <c r="A825" s="4" t="n">
        <v>17</v>
      </c>
      <c r="B825" s="4" t="n">
        <v>110</v>
      </c>
      <c r="C825" s="4" t="n">
        <v>277</v>
      </c>
      <c r="D825" s="4" t="n">
        <v>253</v>
      </c>
      <c r="E825" s="6" t="n">
        <v>14.380502625074</v>
      </c>
      <c r="F825" s="6" t="n">
        <f aca="false">D825+E825</f>
        <v>267.380502625074</v>
      </c>
      <c r="G825" s="6" t="n">
        <f aca="false">F825-C825</f>
        <v>-9.61949737492597</v>
      </c>
      <c r="H825" s="4" t="str">
        <f aca="false">IF(G825&gt;2,"LATE",IF(G825&lt;-13,"EARLY","IN"))</f>
        <v>IN</v>
      </c>
      <c r="I825" s="4" t="n">
        <f aca="false">C825-D825</f>
        <v>24</v>
      </c>
    </row>
    <row r="826" customFormat="false" ht="15" hidden="false" customHeight="false" outlineLevel="0" collapsed="false">
      <c r="A826" s="4" t="n">
        <v>17</v>
      </c>
      <c r="B826" s="4" t="n">
        <v>112</v>
      </c>
      <c r="C826" s="4" t="n">
        <v>226</v>
      </c>
      <c r="D826" s="4" t="n">
        <v>210</v>
      </c>
      <c r="E826" s="6" t="n">
        <v>10.2141977083077</v>
      </c>
      <c r="F826" s="6" t="n">
        <f aca="false">D826+E826</f>
        <v>220.214197708308</v>
      </c>
      <c r="G826" s="6" t="n">
        <f aca="false">F826-C826</f>
        <v>-5.78580229169234</v>
      </c>
      <c r="H826" s="4" t="str">
        <f aca="false">IF(G826&gt;2,"LATE",IF(G826&lt;-13,"EARLY","IN"))</f>
        <v>IN</v>
      </c>
      <c r="I826" s="4" t="n">
        <f aca="false">C826-D826</f>
        <v>16</v>
      </c>
    </row>
    <row r="827" customFormat="false" ht="15" hidden="false" customHeight="false" outlineLevel="0" collapsed="false">
      <c r="A827" s="4" t="n">
        <v>17</v>
      </c>
      <c r="B827" s="4" t="n">
        <v>115</v>
      </c>
      <c r="C827" s="4" t="n">
        <v>260</v>
      </c>
      <c r="D827" s="4" t="n">
        <v>239</v>
      </c>
      <c r="E827" s="6" t="n">
        <v>12.2538610032348</v>
      </c>
      <c r="F827" s="6" t="n">
        <f aca="false">D827+E827</f>
        <v>251.253861003235</v>
      </c>
      <c r="G827" s="6" t="n">
        <f aca="false">F827-C827</f>
        <v>-8.74613899676518</v>
      </c>
      <c r="H827" s="4" t="str">
        <f aca="false">IF(G827&gt;2,"LATE",IF(G827&lt;-13,"EARLY","IN"))</f>
        <v>IN</v>
      </c>
      <c r="I827" s="4" t="n">
        <f aca="false">C827-D827</f>
        <v>21</v>
      </c>
    </row>
    <row r="828" customFormat="false" ht="15" hidden="false" customHeight="false" outlineLevel="0" collapsed="false">
      <c r="A828" s="4" t="n">
        <v>17</v>
      </c>
      <c r="B828" s="4" t="n">
        <v>120</v>
      </c>
      <c r="C828" s="4" t="n">
        <v>170</v>
      </c>
      <c r="D828" s="4" t="n">
        <v>153</v>
      </c>
      <c r="E828" s="6" t="n">
        <v>16.5704511706147</v>
      </c>
      <c r="F828" s="6" t="n">
        <f aca="false">D828+E828</f>
        <v>169.570451170615</v>
      </c>
      <c r="G828" s="6" t="n">
        <f aca="false">F828-C828</f>
        <v>-0.429548829385254</v>
      </c>
      <c r="H828" s="4" t="str">
        <f aca="false">IF(G828&gt;2,"LATE",IF(G828&lt;-13,"EARLY","IN"))</f>
        <v>IN</v>
      </c>
      <c r="I828" s="4" t="n">
        <f aca="false">C828-D828</f>
        <v>17</v>
      </c>
    </row>
    <row r="829" customFormat="false" ht="15" hidden="false" customHeight="false" outlineLevel="0" collapsed="false">
      <c r="A829" s="4" t="n">
        <v>17</v>
      </c>
      <c r="B829" s="4" t="n">
        <v>125</v>
      </c>
      <c r="C829" s="4" t="n">
        <v>245</v>
      </c>
      <c r="D829" s="4" t="n">
        <v>230</v>
      </c>
      <c r="E829" s="6" t="n">
        <v>11.5551577166153</v>
      </c>
      <c r="F829" s="6" t="n">
        <f aca="false">D829+E829</f>
        <v>241.555157716615</v>
      </c>
      <c r="G829" s="6" t="n">
        <f aca="false">F829-C829</f>
        <v>-3.44484228338473</v>
      </c>
      <c r="H829" s="4" t="str">
        <f aca="false">IF(G829&gt;2,"LATE",IF(G829&lt;-13,"EARLY","IN"))</f>
        <v>IN</v>
      </c>
      <c r="I829" s="4" t="n">
        <f aca="false">C829-D829</f>
        <v>15</v>
      </c>
    </row>
    <row r="830" customFormat="false" ht="15" hidden="false" customHeight="false" outlineLevel="0" collapsed="false">
      <c r="A830" s="4" t="n">
        <v>17</v>
      </c>
      <c r="B830" s="4" t="n">
        <v>127</v>
      </c>
      <c r="C830" s="4" t="n">
        <v>163</v>
      </c>
      <c r="D830" s="4" t="n">
        <v>148</v>
      </c>
      <c r="E830" s="6" t="n">
        <v>9.16975504296942</v>
      </c>
      <c r="F830" s="6" t="n">
        <f aca="false">D830+E830</f>
        <v>157.169755042969</v>
      </c>
      <c r="G830" s="6" t="n">
        <f aca="false">F830-C830</f>
        <v>-5.83024495703057</v>
      </c>
      <c r="H830" s="4" t="str">
        <f aca="false">IF(G830&gt;2,"LATE",IF(G830&lt;-13,"EARLY","IN"))</f>
        <v>IN</v>
      </c>
      <c r="I830" s="4" t="n">
        <f aca="false">C830-D830</f>
        <v>15</v>
      </c>
    </row>
    <row r="831" customFormat="false" ht="15" hidden="false" customHeight="false" outlineLevel="0" collapsed="false">
      <c r="A831" s="4" t="n">
        <v>17</v>
      </c>
      <c r="B831" s="4" t="n">
        <v>128</v>
      </c>
      <c r="C831" s="4" t="n">
        <v>159</v>
      </c>
      <c r="D831" s="4" t="n">
        <v>147</v>
      </c>
      <c r="E831" s="6" t="n">
        <v>11.4219833946802</v>
      </c>
      <c r="F831" s="6" t="n">
        <f aca="false">D831+E831</f>
        <v>158.42198339468</v>
      </c>
      <c r="G831" s="6" t="n">
        <f aca="false">F831-C831</f>
        <v>-0.578016605319817</v>
      </c>
      <c r="H831" s="4" t="str">
        <f aca="false">IF(G831&gt;2,"LATE",IF(G831&lt;-13,"EARLY","IN"))</f>
        <v>IN</v>
      </c>
      <c r="I831" s="4" t="n">
        <f aca="false">C831-D831</f>
        <v>12</v>
      </c>
    </row>
    <row r="832" customFormat="false" ht="15" hidden="false" customHeight="false" outlineLevel="0" collapsed="false">
      <c r="A832" s="4" t="n">
        <v>17</v>
      </c>
      <c r="B832" s="4" t="n">
        <v>136</v>
      </c>
      <c r="C832" s="4" t="n">
        <v>232</v>
      </c>
      <c r="D832" s="4" t="n">
        <v>205</v>
      </c>
      <c r="E832" s="6" t="n">
        <v>12.2276138871822</v>
      </c>
      <c r="F832" s="6" t="n">
        <f aca="false">D832+E832</f>
        <v>217.227613887182</v>
      </c>
      <c r="G832" s="6" t="n">
        <f aca="false">F832-C832</f>
        <v>-14.7723861128178</v>
      </c>
      <c r="H832" s="4" t="str">
        <f aca="false">IF(G832&gt;2,"LATE",IF(G832&lt;-13,"EARLY","IN"))</f>
        <v>EARLY</v>
      </c>
      <c r="I832" s="4" t="n">
        <f aca="false">C832-D832</f>
        <v>27</v>
      </c>
    </row>
    <row r="833" customFormat="false" ht="15" hidden="false" customHeight="false" outlineLevel="0" collapsed="false">
      <c r="A833" s="4" t="n">
        <v>17</v>
      </c>
      <c r="B833" s="4" t="n">
        <v>142</v>
      </c>
      <c r="C833" s="4" t="n">
        <v>215</v>
      </c>
      <c r="D833" s="4" t="n">
        <v>199</v>
      </c>
      <c r="E833" s="6" t="n">
        <v>14.676823193303</v>
      </c>
      <c r="F833" s="6" t="n">
        <f aca="false">D833+E833</f>
        <v>213.676823193303</v>
      </c>
      <c r="G833" s="6" t="n">
        <f aca="false">F833-C833</f>
        <v>-1.32317680669703</v>
      </c>
      <c r="H833" s="4" t="str">
        <f aca="false">IF(G833&gt;2,"LATE",IF(G833&lt;-13,"EARLY","IN"))</f>
        <v>IN</v>
      </c>
      <c r="I833" s="4" t="n">
        <f aca="false">C833-D833</f>
        <v>16</v>
      </c>
    </row>
    <row r="834" customFormat="false" ht="15" hidden="false" customHeight="false" outlineLevel="0" collapsed="false">
      <c r="A834" s="4" t="n">
        <v>17</v>
      </c>
      <c r="B834" s="4" t="n">
        <v>144</v>
      </c>
      <c r="C834" s="4" t="n">
        <v>272</v>
      </c>
      <c r="D834" s="4" t="n">
        <v>255</v>
      </c>
      <c r="E834" s="6" t="n">
        <v>13.5072147406302</v>
      </c>
      <c r="F834" s="6" t="n">
        <f aca="false">D834+E834</f>
        <v>268.50721474063</v>
      </c>
      <c r="G834" s="6" t="n">
        <f aca="false">F834-C834</f>
        <v>-3.49278525936978</v>
      </c>
      <c r="H834" s="4" t="str">
        <f aca="false">IF(G834&gt;2,"LATE",IF(G834&lt;-13,"EARLY","IN"))</f>
        <v>IN</v>
      </c>
      <c r="I834" s="4" t="n">
        <f aca="false">C834-D834</f>
        <v>17</v>
      </c>
    </row>
    <row r="835" customFormat="false" ht="15" hidden="false" customHeight="false" outlineLevel="0" collapsed="false">
      <c r="A835" s="4" t="n">
        <v>17</v>
      </c>
      <c r="B835" s="4" t="n">
        <v>152</v>
      </c>
      <c r="C835" s="4" t="n">
        <v>213</v>
      </c>
      <c r="D835" s="4" t="n">
        <v>193</v>
      </c>
      <c r="E835" s="6" t="n">
        <v>13.9725676914022</v>
      </c>
      <c r="F835" s="6" t="n">
        <f aca="false">D835+E835</f>
        <v>206.972567691402</v>
      </c>
      <c r="G835" s="6" t="n">
        <f aca="false">F835-C835</f>
        <v>-6.02743230859781</v>
      </c>
      <c r="H835" s="4" t="str">
        <f aca="false">IF(G835&gt;2,"LATE",IF(G835&lt;-13,"EARLY","IN"))</f>
        <v>IN</v>
      </c>
      <c r="I835" s="4" t="n">
        <f aca="false">C835-D835</f>
        <v>20</v>
      </c>
    </row>
    <row r="836" customFormat="false" ht="15" hidden="false" customHeight="false" outlineLevel="0" collapsed="false">
      <c r="A836" s="4" t="n">
        <v>17</v>
      </c>
      <c r="B836" s="4" t="n">
        <v>157</v>
      </c>
      <c r="C836" s="4" t="n">
        <v>202</v>
      </c>
      <c r="D836" s="4" t="n">
        <v>181</v>
      </c>
      <c r="E836" s="6" t="n">
        <v>15.4666664064428</v>
      </c>
      <c r="F836" s="6" t="n">
        <f aca="false">D836+E836</f>
        <v>196.466666406443</v>
      </c>
      <c r="G836" s="6" t="n">
        <f aca="false">F836-C836</f>
        <v>-5.53333359355725</v>
      </c>
      <c r="H836" s="4" t="str">
        <f aca="false">IF(G836&gt;2,"LATE",IF(G836&lt;-13,"EARLY","IN"))</f>
        <v>IN</v>
      </c>
      <c r="I836" s="4" t="n">
        <f aca="false">C836-D836</f>
        <v>21</v>
      </c>
    </row>
    <row r="837" customFormat="false" ht="15" hidden="false" customHeight="false" outlineLevel="0" collapsed="false">
      <c r="A837" s="4" t="n">
        <v>17</v>
      </c>
      <c r="B837" s="4" t="n">
        <v>160</v>
      </c>
      <c r="C837" s="4" t="n">
        <v>147</v>
      </c>
      <c r="D837" s="4" t="n">
        <v>129</v>
      </c>
      <c r="E837" s="6" t="n">
        <v>16.3741860956649</v>
      </c>
      <c r="F837" s="6" t="n">
        <f aca="false">D837+E837</f>
        <v>145.374186095665</v>
      </c>
      <c r="G837" s="6" t="n">
        <f aca="false">F837-C837</f>
        <v>-1.62581390433508</v>
      </c>
      <c r="H837" s="4" t="str">
        <f aca="false">IF(G837&gt;2,"LATE",IF(G837&lt;-13,"EARLY","IN"))</f>
        <v>IN</v>
      </c>
      <c r="I837" s="4" t="n">
        <f aca="false">C837-D837</f>
        <v>18</v>
      </c>
    </row>
    <row r="838" customFormat="false" ht="15" hidden="false" customHeight="false" outlineLevel="0" collapsed="false">
      <c r="A838" s="4" t="n">
        <v>17</v>
      </c>
      <c r="B838" s="4" t="n">
        <v>164</v>
      </c>
      <c r="C838" s="4" t="n">
        <v>211</v>
      </c>
      <c r="D838" s="4" t="n">
        <v>192</v>
      </c>
      <c r="E838" s="6" t="n">
        <v>16.0520155714714</v>
      </c>
      <c r="F838" s="6" t="n">
        <f aca="false">D838+E838</f>
        <v>208.052015571471</v>
      </c>
      <c r="G838" s="6" t="n">
        <f aca="false">F838-C838</f>
        <v>-2.94798442852857</v>
      </c>
      <c r="H838" s="4" t="str">
        <f aca="false">IF(G838&gt;2,"LATE",IF(G838&lt;-13,"EARLY","IN"))</f>
        <v>IN</v>
      </c>
      <c r="I838" s="4" t="n">
        <f aca="false">C838-D838</f>
        <v>19</v>
      </c>
    </row>
    <row r="839" customFormat="false" ht="15" hidden="false" customHeight="false" outlineLevel="0" collapsed="false">
      <c r="A839" s="4" t="n">
        <v>17</v>
      </c>
      <c r="B839" s="4" t="n">
        <v>167</v>
      </c>
      <c r="C839" s="4" t="n">
        <v>177</v>
      </c>
      <c r="D839" s="4" t="n">
        <v>162</v>
      </c>
      <c r="E839" s="6" t="n">
        <v>13.7832195278117</v>
      </c>
      <c r="F839" s="6" t="n">
        <f aca="false">D839+E839</f>
        <v>175.783219527812</v>
      </c>
      <c r="G839" s="6" t="n">
        <f aca="false">F839-C839</f>
        <v>-1.2167804721883</v>
      </c>
      <c r="H839" s="4" t="str">
        <f aca="false">IF(G839&gt;2,"LATE",IF(G839&lt;-13,"EARLY","IN"))</f>
        <v>IN</v>
      </c>
      <c r="I839" s="4" t="n">
        <f aca="false">C839-D839</f>
        <v>15</v>
      </c>
    </row>
    <row r="840" customFormat="false" ht="15" hidden="false" customHeight="false" outlineLevel="0" collapsed="false">
      <c r="A840" s="4" t="n">
        <v>17</v>
      </c>
      <c r="B840" s="4" t="n">
        <v>170</v>
      </c>
      <c r="C840" s="4" t="n">
        <v>302</v>
      </c>
      <c r="D840" s="4" t="n">
        <v>285</v>
      </c>
      <c r="E840" s="6" t="n">
        <v>13.4708105557116</v>
      </c>
      <c r="F840" s="6" t="n">
        <f aca="false">D840+E840</f>
        <v>298.470810555712</v>
      </c>
      <c r="G840" s="6" t="n">
        <f aca="false">F840-C840</f>
        <v>-3.52918944428842</v>
      </c>
      <c r="H840" s="4" t="str">
        <f aca="false">IF(G840&gt;2,"LATE",IF(G840&lt;-13,"EARLY","IN"))</f>
        <v>IN</v>
      </c>
      <c r="I840" s="4" t="n">
        <f aca="false">C840-D840</f>
        <v>17</v>
      </c>
    </row>
    <row r="841" customFormat="false" ht="15" hidden="false" customHeight="false" outlineLevel="0" collapsed="false">
      <c r="A841" s="4" t="n">
        <v>17</v>
      </c>
      <c r="B841" s="4" t="n">
        <v>172</v>
      </c>
      <c r="C841" s="4" t="n">
        <v>222</v>
      </c>
      <c r="D841" s="4" t="n">
        <v>207</v>
      </c>
      <c r="E841" s="6" t="n">
        <v>16.4889041931537</v>
      </c>
      <c r="F841" s="6" t="n">
        <f aca="false">D841+E841</f>
        <v>223.488904193154</v>
      </c>
      <c r="G841" s="6" t="n">
        <f aca="false">F841-C841</f>
        <v>1.4889041931537</v>
      </c>
      <c r="H841" s="4" t="str">
        <f aca="false">IF(G841&gt;2,"LATE",IF(G841&lt;-13,"EARLY","IN"))</f>
        <v>IN</v>
      </c>
      <c r="I841" s="4" t="n">
        <f aca="false">C841-D841</f>
        <v>15</v>
      </c>
    </row>
    <row r="842" customFormat="false" ht="15" hidden="false" customHeight="false" outlineLevel="0" collapsed="false">
      <c r="A842" s="4" t="n">
        <v>17</v>
      </c>
      <c r="B842" s="4" t="n">
        <v>188</v>
      </c>
      <c r="C842" s="4" t="n">
        <v>246</v>
      </c>
      <c r="D842" s="4" t="n">
        <v>224</v>
      </c>
      <c r="E842" s="6" t="n">
        <v>13.1315604972135</v>
      </c>
      <c r="F842" s="6" t="n">
        <f aca="false">D842+E842</f>
        <v>237.131560497213</v>
      </c>
      <c r="G842" s="6" t="n">
        <f aca="false">F842-C842</f>
        <v>-8.86843950278654</v>
      </c>
      <c r="H842" s="4" t="str">
        <f aca="false">IF(G842&gt;2,"LATE",IF(G842&lt;-13,"EARLY","IN"))</f>
        <v>IN</v>
      </c>
      <c r="I842" s="4" t="n">
        <f aca="false">C842-D842</f>
        <v>22</v>
      </c>
    </row>
    <row r="843" customFormat="false" ht="15" hidden="false" customHeight="false" outlineLevel="0" collapsed="false">
      <c r="A843" s="4" t="n">
        <v>17</v>
      </c>
      <c r="B843" s="4" t="n">
        <v>194</v>
      </c>
      <c r="C843" s="4" t="n">
        <v>246</v>
      </c>
      <c r="D843" s="4" t="n">
        <v>217</v>
      </c>
      <c r="E843" s="6" t="n">
        <v>17.7541958926736</v>
      </c>
      <c r="F843" s="6" t="n">
        <f aca="false">D843+E843</f>
        <v>234.754195892674</v>
      </c>
      <c r="G843" s="6" t="n">
        <f aca="false">F843-C843</f>
        <v>-11.2458041073265</v>
      </c>
      <c r="H843" s="4" t="str">
        <f aca="false">IF(G843&gt;2,"LATE",IF(G843&lt;-13,"EARLY","IN"))</f>
        <v>IN</v>
      </c>
      <c r="I843" s="4" t="n">
        <f aca="false">C843-D843</f>
        <v>29</v>
      </c>
    </row>
    <row r="844" customFormat="false" ht="15" hidden="false" customHeight="false" outlineLevel="0" collapsed="false">
      <c r="A844" s="4" t="n">
        <v>17</v>
      </c>
      <c r="B844" s="4" t="n">
        <v>195</v>
      </c>
      <c r="C844" s="4" t="n">
        <v>284</v>
      </c>
      <c r="D844" s="4" t="n">
        <v>267</v>
      </c>
      <c r="E844" s="6" t="n">
        <v>14.2756408145419</v>
      </c>
      <c r="F844" s="6" t="n">
        <f aca="false">D844+E844</f>
        <v>281.275640814542</v>
      </c>
      <c r="G844" s="6" t="n">
        <f aca="false">F844-C844</f>
        <v>-2.72435918545813</v>
      </c>
      <c r="H844" s="4" t="str">
        <f aca="false">IF(G844&gt;2,"LATE",IF(G844&lt;-13,"EARLY","IN"))</f>
        <v>IN</v>
      </c>
      <c r="I844" s="4" t="n">
        <f aca="false">C844-D844</f>
        <v>17</v>
      </c>
    </row>
    <row r="845" customFormat="false" ht="15" hidden="false" customHeight="false" outlineLevel="0" collapsed="false">
      <c r="A845" s="4" t="n">
        <v>17</v>
      </c>
      <c r="B845" s="4" t="n">
        <v>201</v>
      </c>
      <c r="C845" s="4" t="n">
        <v>201</v>
      </c>
      <c r="D845" s="4" t="n">
        <v>182</v>
      </c>
      <c r="E845" s="6" t="n">
        <v>13.2175963134947</v>
      </c>
      <c r="F845" s="6" t="n">
        <f aca="false">D845+E845</f>
        <v>195.217596313495</v>
      </c>
      <c r="G845" s="6" t="n">
        <f aca="false">F845-C845</f>
        <v>-5.78240368650526</v>
      </c>
      <c r="H845" s="4" t="str">
        <f aca="false">IF(G845&gt;2,"LATE",IF(G845&lt;-13,"EARLY","IN"))</f>
        <v>IN</v>
      </c>
      <c r="I845" s="4" t="n">
        <f aca="false">C845-D845</f>
        <v>19</v>
      </c>
    </row>
    <row r="846" customFormat="false" ht="15" hidden="false" customHeight="false" outlineLevel="0" collapsed="false">
      <c r="A846" s="4" t="n">
        <v>17</v>
      </c>
      <c r="B846" s="4" t="n">
        <v>204</v>
      </c>
      <c r="C846" s="4" t="n">
        <v>174</v>
      </c>
      <c r="D846" s="4" t="n">
        <v>158</v>
      </c>
      <c r="E846" s="6" t="n">
        <v>15.8954378383454</v>
      </c>
      <c r="F846" s="6" t="n">
        <f aca="false">D846+E846</f>
        <v>173.895437838345</v>
      </c>
      <c r="G846" s="6" t="n">
        <f aca="false">F846-C846</f>
        <v>-0.104562161654627</v>
      </c>
      <c r="H846" s="4" t="str">
        <f aca="false">IF(G846&gt;2,"LATE",IF(G846&lt;-13,"EARLY","IN"))</f>
        <v>IN</v>
      </c>
      <c r="I846" s="4" t="n">
        <f aca="false">C846-D846</f>
        <v>16</v>
      </c>
    </row>
    <row r="847" customFormat="false" ht="15" hidden="false" customHeight="false" outlineLevel="0" collapsed="false">
      <c r="A847" s="4" t="n">
        <v>17</v>
      </c>
      <c r="B847" s="4" t="n">
        <v>206</v>
      </c>
      <c r="C847" s="4" t="n">
        <v>155</v>
      </c>
      <c r="D847" s="4" t="n">
        <v>136</v>
      </c>
      <c r="E847" s="6" t="n">
        <v>19.3066430173722</v>
      </c>
      <c r="F847" s="6" t="n">
        <f aca="false">D847+E847</f>
        <v>155.306643017372</v>
      </c>
      <c r="G847" s="6" t="n">
        <f aca="false">F847-C847</f>
        <v>0.306643017372181</v>
      </c>
      <c r="H847" s="4" t="str">
        <f aca="false">IF(G847&gt;2,"LATE",IF(G847&lt;-13,"EARLY","IN"))</f>
        <v>IN</v>
      </c>
      <c r="I847" s="4" t="n">
        <f aca="false">C847-D847</f>
        <v>19</v>
      </c>
    </row>
    <row r="848" customFormat="false" ht="15" hidden="false" customHeight="false" outlineLevel="0" collapsed="false">
      <c r="A848" s="4" t="n">
        <v>17</v>
      </c>
      <c r="B848" s="4" t="n">
        <v>207</v>
      </c>
      <c r="C848" s="4" t="n">
        <v>278</v>
      </c>
      <c r="D848" s="4" t="n">
        <v>262</v>
      </c>
      <c r="E848" s="6" t="n">
        <v>10.5860904524291</v>
      </c>
      <c r="F848" s="6" t="n">
        <f aca="false">D848+E848</f>
        <v>272.586090452429</v>
      </c>
      <c r="G848" s="6" t="n">
        <f aca="false">F848-C848</f>
        <v>-5.41390954757094</v>
      </c>
      <c r="H848" s="4" t="str">
        <f aca="false">IF(G848&gt;2,"LATE",IF(G848&lt;-13,"EARLY","IN"))</f>
        <v>IN</v>
      </c>
      <c r="I848" s="4" t="n">
        <f aca="false">C848-D848</f>
        <v>16</v>
      </c>
    </row>
    <row r="849" customFormat="false" ht="15" hidden="false" customHeight="false" outlineLevel="0" collapsed="false">
      <c r="A849" s="4" t="n">
        <v>17</v>
      </c>
      <c r="B849" s="4" t="n">
        <v>209</v>
      </c>
      <c r="C849" s="4" t="n">
        <v>252</v>
      </c>
      <c r="D849" s="4" t="n">
        <v>230</v>
      </c>
      <c r="E849" s="6" t="n">
        <v>16.9028491523474</v>
      </c>
      <c r="F849" s="6" t="n">
        <f aca="false">D849+E849</f>
        <v>246.902849152347</v>
      </c>
      <c r="G849" s="6" t="n">
        <f aca="false">F849-C849</f>
        <v>-5.09715084765264</v>
      </c>
      <c r="H849" s="4" t="str">
        <f aca="false">IF(G849&gt;2,"LATE",IF(G849&lt;-13,"EARLY","IN"))</f>
        <v>IN</v>
      </c>
      <c r="I849" s="4" t="n">
        <f aca="false">C849-D849</f>
        <v>22</v>
      </c>
    </row>
    <row r="850" customFormat="false" ht="15" hidden="false" customHeight="false" outlineLevel="0" collapsed="false">
      <c r="A850" s="4" t="n">
        <v>17</v>
      </c>
      <c r="B850" s="4" t="n">
        <v>212</v>
      </c>
      <c r="C850" s="4" t="n">
        <v>277</v>
      </c>
      <c r="D850" s="4" t="n">
        <v>249</v>
      </c>
      <c r="E850" s="6" t="n">
        <v>18.3236439262902</v>
      </c>
      <c r="F850" s="6" t="n">
        <f aca="false">D850+E850</f>
        <v>267.32364392629</v>
      </c>
      <c r="G850" s="6" t="n">
        <f aca="false">F850-C850</f>
        <v>-9.67635607370983</v>
      </c>
      <c r="H850" s="4" t="str">
        <f aca="false">IF(G850&gt;2,"LATE",IF(G850&lt;-13,"EARLY","IN"))</f>
        <v>IN</v>
      </c>
      <c r="I850" s="4" t="n">
        <f aca="false">C850-D850</f>
        <v>28</v>
      </c>
    </row>
    <row r="851" customFormat="false" ht="15" hidden="false" customHeight="false" outlineLevel="0" collapsed="false">
      <c r="A851" s="4" t="n">
        <v>17</v>
      </c>
      <c r="B851" s="4" t="n">
        <v>217</v>
      </c>
      <c r="C851" s="4" t="n">
        <v>287</v>
      </c>
      <c r="D851" s="4" t="n">
        <v>256</v>
      </c>
      <c r="E851" s="6" t="n">
        <v>18.3871401593599</v>
      </c>
      <c r="F851" s="6" t="n">
        <f aca="false">D851+E851</f>
        <v>274.38714015936</v>
      </c>
      <c r="G851" s="6" t="n">
        <f aca="false">F851-C851</f>
        <v>-12.6128598406401</v>
      </c>
      <c r="H851" s="4" t="str">
        <f aca="false">IF(G851&gt;2,"LATE",IF(G851&lt;-13,"EARLY","IN"))</f>
        <v>IN</v>
      </c>
      <c r="I851" s="4" t="n">
        <f aca="false">C851-D851</f>
        <v>31</v>
      </c>
    </row>
    <row r="852" customFormat="false" ht="15" hidden="false" customHeight="false" outlineLevel="0" collapsed="false">
      <c r="A852" s="4" t="n">
        <v>18</v>
      </c>
      <c r="B852" s="4" t="n">
        <v>4</v>
      </c>
      <c r="C852" s="4" t="n">
        <v>159</v>
      </c>
      <c r="D852" s="4" t="n">
        <v>139</v>
      </c>
      <c r="E852" s="6" t="n">
        <v>15.6190296147512</v>
      </c>
      <c r="F852" s="6" t="n">
        <f aca="false">D852+E852</f>
        <v>154.619029614751</v>
      </c>
      <c r="G852" s="6" t="n">
        <f aca="false">F852-C852</f>
        <v>-4.38097038524884</v>
      </c>
      <c r="H852" s="4" t="str">
        <f aca="false">IF(G852&gt;2,"LATE",IF(G852&lt;-13,"EARLY","IN"))</f>
        <v>IN</v>
      </c>
      <c r="I852" s="4" t="n">
        <f aca="false">C852-D852</f>
        <v>20</v>
      </c>
    </row>
    <row r="853" customFormat="false" ht="15" hidden="false" customHeight="false" outlineLevel="0" collapsed="false">
      <c r="A853" s="4" t="n">
        <v>18</v>
      </c>
      <c r="B853" s="4" t="n">
        <v>6</v>
      </c>
      <c r="C853" s="4" t="n">
        <v>225</v>
      </c>
      <c r="D853" s="4" t="n">
        <v>204</v>
      </c>
      <c r="E853" s="6" t="n">
        <v>15.2247607052108</v>
      </c>
      <c r="F853" s="6" t="n">
        <f aca="false">D853+E853</f>
        <v>219.224760705211</v>
      </c>
      <c r="G853" s="6" t="n">
        <f aca="false">F853-C853</f>
        <v>-5.7752392947892</v>
      </c>
      <c r="H853" s="4" t="str">
        <f aca="false">IF(G853&gt;2,"LATE",IF(G853&lt;-13,"EARLY","IN"))</f>
        <v>IN</v>
      </c>
      <c r="I853" s="4" t="n">
        <f aca="false">C853-D853</f>
        <v>21</v>
      </c>
    </row>
    <row r="854" customFormat="false" ht="15" hidden="false" customHeight="false" outlineLevel="0" collapsed="false">
      <c r="A854" s="4" t="n">
        <v>18</v>
      </c>
      <c r="B854" s="4" t="n">
        <v>13</v>
      </c>
      <c r="C854" s="4" t="n">
        <v>210</v>
      </c>
      <c r="D854" s="4" t="n">
        <v>190</v>
      </c>
      <c r="E854" s="6" t="n">
        <v>12.4505541218021</v>
      </c>
      <c r="F854" s="6" t="n">
        <f aca="false">D854+E854</f>
        <v>202.450554121802</v>
      </c>
      <c r="G854" s="6" t="n">
        <f aca="false">F854-C854</f>
        <v>-7.54944587819793</v>
      </c>
      <c r="H854" s="4" t="str">
        <f aca="false">IF(G854&gt;2,"LATE",IF(G854&lt;-13,"EARLY","IN"))</f>
        <v>IN</v>
      </c>
      <c r="I854" s="4" t="n">
        <f aca="false">C854-D854</f>
        <v>20</v>
      </c>
    </row>
    <row r="855" customFormat="false" ht="15" hidden="false" customHeight="false" outlineLevel="0" collapsed="false">
      <c r="A855" s="4" t="n">
        <v>18</v>
      </c>
      <c r="B855" s="4" t="n">
        <v>15</v>
      </c>
      <c r="C855" s="4" t="n">
        <v>178</v>
      </c>
      <c r="D855" s="4" t="n">
        <v>162</v>
      </c>
      <c r="E855" s="6" t="n">
        <v>13.4100945526269</v>
      </c>
      <c r="F855" s="6" t="n">
        <f aca="false">D855+E855</f>
        <v>175.410094552627</v>
      </c>
      <c r="G855" s="6" t="n">
        <f aca="false">F855-C855</f>
        <v>-2.58990544737313</v>
      </c>
      <c r="H855" s="4" t="str">
        <f aca="false">IF(G855&gt;2,"LATE",IF(G855&lt;-13,"EARLY","IN"))</f>
        <v>IN</v>
      </c>
      <c r="I855" s="4" t="n">
        <f aca="false">C855-D855</f>
        <v>16</v>
      </c>
    </row>
    <row r="856" customFormat="false" ht="15" hidden="false" customHeight="false" outlineLevel="0" collapsed="false">
      <c r="A856" s="4" t="n">
        <v>18</v>
      </c>
      <c r="B856" s="4" t="n">
        <v>17</v>
      </c>
      <c r="C856" s="4" t="n">
        <v>228</v>
      </c>
      <c r="D856" s="4" t="n">
        <v>204</v>
      </c>
      <c r="E856" s="6" t="n">
        <v>15.2472546592956</v>
      </c>
      <c r="F856" s="6" t="n">
        <f aca="false">D856+E856</f>
        <v>219.247254659296</v>
      </c>
      <c r="G856" s="6" t="n">
        <f aca="false">F856-C856</f>
        <v>-8.75274534070437</v>
      </c>
      <c r="H856" s="4" t="str">
        <f aca="false">IF(G856&gt;2,"LATE",IF(G856&lt;-13,"EARLY","IN"))</f>
        <v>IN</v>
      </c>
      <c r="I856" s="4" t="n">
        <f aca="false">C856-D856</f>
        <v>24</v>
      </c>
    </row>
    <row r="857" customFormat="false" ht="15" hidden="false" customHeight="false" outlineLevel="0" collapsed="false">
      <c r="A857" s="4" t="n">
        <v>18</v>
      </c>
      <c r="B857" s="4" t="n">
        <v>20</v>
      </c>
      <c r="C857" s="4" t="n">
        <v>154</v>
      </c>
      <c r="D857" s="4" t="n">
        <v>138</v>
      </c>
      <c r="E857" s="6" t="n">
        <v>16.7536503701661</v>
      </c>
      <c r="F857" s="6" t="n">
        <f aca="false">D857+E857</f>
        <v>154.753650370166</v>
      </c>
      <c r="G857" s="6" t="n">
        <f aca="false">F857-C857</f>
        <v>0.753650370166042</v>
      </c>
      <c r="H857" s="4" t="str">
        <f aca="false">IF(G857&gt;2,"LATE",IF(G857&lt;-13,"EARLY","IN"))</f>
        <v>IN</v>
      </c>
      <c r="I857" s="4" t="n">
        <f aca="false">C857-D857</f>
        <v>16</v>
      </c>
    </row>
    <row r="858" customFormat="false" ht="15" hidden="false" customHeight="false" outlineLevel="0" collapsed="false">
      <c r="A858" s="4" t="n">
        <v>18</v>
      </c>
      <c r="B858" s="4" t="n">
        <v>23</v>
      </c>
      <c r="C858" s="4" t="n">
        <v>213</v>
      </c>
      <c r="D858" s="4" t="n">
        <v>194</v>
      </c>
      <c r="E858" s="6" t="n">
        <v>18.3410516273476</v>
      </c>
      <c r="F858" s="6" t="n">
        <f aca="false">D858+E858</f>
        <v>212.341051627348</v>
      </c>
      <c r="G858" s="6" t="n">
        <f aca="false">F858-C858</f>
        <v>-0.658948372652418</v>
      </c>
      <c r="H858" s="4" t="str">
        <f aca="false">IF(G858&gt;2,"LATE",IF(G858&lt;-13,"EARLY","IN"))</f>
        <v>IN</v>
      </c>
      <c r="I858" s="4" t="n">
        <f aca="false">C858-D858</f>
        <v>19</v>
      </c>
    </row>
    <row r="859" customFormat="false" ht="15" hidden="false" customHeight="false" outlineLevel="0" collapsed="false">
      <c r="A859" s="4" t="n">
        <v>18</v>
      </c>
      <c r="B859" s="4" t="n">
        <v>53</v>
      </c>
      <c r="C859" s="4" t="n">
        <v>259</v>
      </c>
      <c r="D859" s="4" t="n">
        <v>239</v>
      </c>
      <c r="E859" s="6" t="n">
        <v>17.212035822006</v>
      </c>
      <c r="F859" s="6" t="n">
        <f aca="false">D859+E859</f>
        <v>256.212035822006</v>
      </c>
      <c r="G859" s="6" t="n">
        <f aca="false">F859-C859</f>
        <v>-2.78796417799401</v>
      </c>
      <c r="H859" s="4" t="str">
        <f aca="false">IF(G859&gt;2,"LATE",IF(G859&lt;-13,"EARLY","IN"))</f>
        <v>IN</v>
      </c>
      <c r="I859" s="4" t="n">
        <f aca="false">C859-D859</f>
        <v>20</v>
      </c>
    </row>
    <row r="860" customFormat="false" ht="15" hidden="false" customHeight="false" outlineLevel="0" collapsed="false">
      <c r="A860" s="4" t="n">
        <v>18</v>
      </c>
      <c r="B860" s="4" t="n">
        <v>64</v>
      </c>
      <c r="C860" s="4" t="n">
        <v>154</v>
      </c>
      <c r="D860" s="4" t="n">
        <v>142</v>
      </c>
      <c r="E860" s="6" t="n">
        <v>15.6347390228026</v>
      </c>
      <c r="F860" s="6" t="n">
        <f aca="false">D860+E860</f>
        <v>157.634739022803</v>
      </c>
      <c r="G860" s="6" t="n">
        <f aca="false">F860-C860</f>
        <v>3.63473902280259</v>
      </c>
      <c r="H860" s="4" t="str">
        <f aca="false">IF(G860&gt;2,"LATE",IF(G860&lt;-13,"EARLY","IN"))</f>
        <v>LATE</v>
      </c>
      <c r="I860" s="4" t="n">
        <f aca="false">C860-D860</f>
        <v>12</v>
      </c>
    </row>
    <row r="861" customFormat="false" ht="15" hidden="false" customHeight="false" outlineLevel="0" collapsed="false">
      <c r="A861" s="4" t="n">
        <v>18</v>
      </c>
      <c r="B861" s="4" t="n">
        <v>65</v>
      </c>
      <c r="C861" s="4" t="n">
        <v>209</v>
      </c>
      <c r="D861" s="4" t="n">
        <v>192</v>
      </c>
      <c r="E861" s="6" t="n">
        <v>13.0617573460647</v>
      </c>
      <c r="F861" s="6" t="n">
        <f aca="false">D861+E861</f>
        <v>205.061757346065</v>
      </c>
      <c r="G861" s="6" t="n">
        <f aca="false">F861-C861</f>
        <v>-3.93824265393536</v>
      </c>
      <c r="H861" s="4" t="str">
        <f aca="false">IF(G861&gt;2,"LATE",IF(G861&lt;-13,"EARLY","IN"))</f>
        <v>IN</v>
      </c>
      <c r="I861" s="4" t="n">
        <f aca="false">C861-D861</f>
        <v>17</v>
      </c>
    </row>
    <row r="862" customFormat="false" ht="15" hidden="false" customHeight="false" outlineLevel="0" collapsed="false">
      <c r="A862" s="4" t="n">
        <v>18</v>
      </c>
      <c r="B862" s="4" t="n">
        <v>71</v>
      </c>
      <c r="C862" s="4" t="n">
        <v>225</v>
      </c>
      <c r="D862" s="4" t="n">
        <v>204</v>
      </c>
      <c r="E862" s="6" t="n">
        <v>15.4391773440005</v>
      </c>
      <c r="F862" s="6" t="n">
        <f aca="false">D862+E862</f>
        <v>219.439177344</v>
      </c>
      <c r="G862" s="6" t="n">
        <f aca="false">F862-C862</f>
        <v>-5.56082265599952</v>
      </c>
      <c r="H862" s="4" t="str">
        <f aca="false">IF(G862&gt;2,"LATE",IF(G862&lt;-13,"EARLY","IN"))</f>
        <v>IN</v>
      </c>
      <c r="I862" s="4" t="n">
        <f aca="false">C862-D862</f>
        <v>21</v>
      </c>
    </row>
    <row r="863" customFormat="false" ht="15" hidden="false" customHeight="false" outlineLevel="0" collapsed="false">
      <c r="A863" s="4" t="n">
        <v>18</v>
      </c>
      <c r="B863" s="4" t="n">
        <v>73</v>
      </c>
      <c r="C863" s="4" t="n">
        <v>249</v>
      </c>
      <c r="D863" s="4" t="n">
        <v>228</v>
      </c>
      <c r="E863" s="6" t="n">
        <v>13.2219542633466</v>
      </c>
      <c r="F863" s="6" t="n">
        <f aca="false">D863+E863</f>
        <v>241.221954263347</v>
      </c>
      <c r="G863" s="6" t="n">
        <f aca="false">F863-C863</f>
        <v>-7.77804573665338</v>
      </c>
      <c r="H863" s="4" t="str">
        <f aca="false">IF(G863&gt;2,"LATE",IF(G863&lt;-13,"EARLY","IN"))</f>
        <v>IN</v>
      </c>
      <c r="I863" s="4" t="n">
        <f aca="false">C863-D863</f>
        <v>21</v>
      </c>
    </row>
    <row r="864" customFormat="false" ht="15" hidden="false" customHeight="false" outlineLevel="0" collapsed="false">
      <c r="A864" s="4" t="n">
        <v>18</v>
      </c>
      <c r="B864" s="4" t="n">
        <v>79</v>
      </c>
      <c r="C864" s="4" t="n">
        <v>225</v>
      </c>
      <c r="D864" s="4" t="n">
        <v>199</v>
      </c>
      <c r="E864" s="6" t="n">
        <v>15.4025738654515</v>
      </c>
      <c r="F864" s="6" t="n">
        <f aca="false">D864+E864</f>
        <v>214.402573865451</v>
      </c>
      <c r="G864" s="6" t="n">
        <f aca="false">F864-C864</f>
        <v>-10.5974261345486</v>
      </c>
      <c r="H864" s="4" t="str">
        <f aca="false">IF(G864&gt;2,"LATE",IF(G864&lt;-13,"EARLY","IN"))</f>
        <v>IN</v>
      </c>
      <c r="I864" s="4" t="n">
        <f aca="false">C864-D864</f>
        <v>26</v>
      </c>
    </row>
    <row r="865" customFormat="false" ht="15" hidden="false" customHeight="false" outlineLevel="0" collapsed="false">
      <c r="A865" s="4" t="n">
        <v>18</v>
      </c>
      <c r="B865" s="4" t="n">
        <v>80</v>
      </c>
      <c r="C865" s="4" t="n">
        <v>284</v>
      </c>
      <c r="D865" s="4" t="n">
        <v>267</v>
      </c>
      <c r="E865" s="6" t="n">
        <v>14.6158499111864</v>
      </c>
      <c r="F865" s="6" t="n">
        <f aca="false">D865+E865</f>
        <v>281.615849911186</v>
      </c>
      <c r="G865" s="6" t="n">
        <f aca="false">F865-C865</f>
        <v>-2.38415008881356</v>
      </c>
      <c r="H865" s="4" t="str">
        <f aca="false">IF(G865&gt;2,"LATE",IF(G865&lt;-13,"EARLY","IN"))</f>
        <v>IN</v>
      </c>
      <c r="I865" s="4" t="n">
        <f aca="false">C865-D865</f>
        <v>17</v>
      </c>
    </row>
    <row r="866" customFormat="false" ht="15" hidden="false" customHeight="false" outlineLevel="0" collapsed="false">
      <c r="A866" s="4" t="n">
        <v>18</v>
      </c>
      <c r="B866" s="4" t="n">
        <v>83</v>
      </c>
      <c r="C866" s="4" t="n">
        <v>231</v>
      </c>
      <c r="D866" s="4" t="n">
        <v>214</v>
      </c>
      <c r="E866" s="6" t="n">
        <v>13.0860579116646</v>
      </c>
      <c r="F866" s="6" t="n">
        <f aca="false">D866+E866</f>
        <v>227.086057911665</v>
      </c>
      <c r="G866" s="6" t="n">
        <f aca="false">F866-C866</f>
        <v>-3.91394208833543</v>
      </c>
      <c r="H866" s="4" t="str">
        <f aca="false">IF(G866&gt;2,"LATE",IF(G866&lt;-13,"EARLY","IN"))</f>
        <v>IN</v>
      </c>
      <c r="I866" s="4" t="n">
        <f aca="false">C866-D866</f>
        <v>17</v>
      </c>
    </row>
    <row r="867" customFormat="false" ht="15" hidden="false" customHeight="false" outlineLevel="0" collapsed="false">
      <c r="A867" s="4" t="n">
        <v>18</v>
      </c>
      <c r="B867" s="4" t="n">
        <v>85</v>
      </c>
      <c r="C867" s="4" t="n">
        <v>246</v>
      </c>
      <c r="D867" s="4" t="n">
        <v>228</v>
      </c>
      <c r="E867" s="6" t="n">
        <v>13.7213564510743</v>
      </c>
      <c r="F867" s="6" t="n">
        <f aca="false">D867+E867</f>
        <v>241.721356451074</v>
      </c>
      <c r="G867" s="6" t="n">
        <f aca="false">F867-C867</f>
        <v>-4.27864354892566</v>
      </c>
      <c r="H867" s="4" t="str">
        <f aca="false">IF(G867&gt;2,"LATE",IF(G867&lt;-13,"EARLY","IN"))</f>
        <v>IN</v>
      </c>
      <c r="I867" s="4" t="n">
        <f aca="false">C867-D867</f>
        <v>18</v>
      </c>
    </row>
    <row r="868" customFormat="false" ht="15" hidden="false" customHeight="false" outlineLevel="0" collapsed="false">
      <c r="A868" s="4" t="n">
        <v>18</v>
      </c>
      <c r="B868" s="4" t="n">
        <v>86</v>
      </c>
      <c r="C868" s="4" t="n">
        <v>205</v>
      </c>
      <c r="D868" s="4" t="n">
        <v>185</v>
      </c>
      <c r="E868" s="6" t="n">
        <v>16.8822113620167</v>
      </c>
      <c r="F868" s="6" t="n">
        <f aca="false">D868+E868</f>
        <v>201.882211362017</v>
      </c>
      <c r="G868" s="6" t="n">
        <f aca="false">F868-C868</f>
        <v>-3.11778863798327</v>
      </c>
      <c r="H868" s="4" t="str">
        <f aca="false">IF(G868&gt;2,"LATE",IF(G868&lt;-13,"EARLY","IN"))</f>
        <v>IN</v>
      </c>
      <c r="I868" s="4" t="n">
        <f aca="false">C868-D868</f>
        <v>20</v>
      </c>
    </row>
    <row r="869" customFormat="false" ht="15" hidden="false" customHeight="false" outlineLevel="0" collapsed="false">
      <c r="A869" s="4" t="n">
        <v>18</v>
      </c>
      <c r="B869" s="4" t="n">
        <v>91</v>
      </c>
      <c r="C869" s="4" t="n">
        <v>199</v>
      </c>
      <c r="D869" s="4" t="n">
        <v>180</v>
      </c>
      <c r="E869" s="6" t="n">
        <v>16.1939041210139</v>
      </c>
      <c r="F869" s="6" t="n">
        <f aca="false">D869+E869</f>
        <v>196.193904121014</v>
      </c>
      <c r="G869" s="6" t="n">
        <f aca="false">F869-C869</f>
        <v>-2.80609587898607</v>
      </c>
      <c r="H869" s="4" t="str">
        <f aca="false">IF(G869&gt;2,"LATE",IF(G869&lt;-13,"EARLY","IN"))</f>
        <v>IN</v>
      </c>
      <c r="I869" s="4" t="n">
        <f aca="false">C869-D869</f>
        <v>19</v>
      </c>
    </row>
    <row r="870" customFormat="false" ht="15" hidden="false" customHeight="false" outlineLevel="0" collapsed="false">
      <c r="A870" s="4" t="n">
        <v>18</v>
      </c>
      <c r="B870" s="4" t="n">
        <v>95</v>
      </c>
      <c r="C870" s="4" t="n">
        <v>234</v>
      </c>
      <c r="D870" s="4" t="n">
        <v>214</v>
      </c>
      <c r="E870" s="6" t="n">
        <v>13.0305044439245</v>
      </c>
      <c r="F870" s="6" t="n">
        <f aca="false">D870+E870</f>
        <v>227.030504443924</v>
      </c>
      <c r="G870" s="6" t="n">
        <f aca="false">F870-C870</f>
        <v>-6.96949555607554</v>
      </c>
      <c r="H870" s="4" t="str">
        <f aca="false">IF(G870&gt;2,"LATE",IF(G870&lt;-13,"EARLY","IN"))</f>
        <v>IN</v>
      </c>
      <c r="I870" s="4" t="n">
        <f aca="false">C870-D870</f>
        <v>20</v>
      </c>
    </row>
    <row r="871" customFormat="false" ht="15" hidden="false" customHeight="false" outlineLevel="0" collapsed="false">
      <c r="A871" s="4" t="n">
        <v>18</v>
      </c>
      <c r="B871" s="4" t="n">
        <v>101</v>
      </c>
      <c r="C871" s="4" t="n">
        <v>226</v>
      </c>
      <c r="D871" s="4" t="n">
        <v>205</v>
      </c>
      <c r="E871" s="6" t="n">
        <v>16.4704394355264</v>
      </c>
      <c r="F871" s="6" t="n">
        <f aca="false">D871+E871</f>
        <v>221.470439435526</v>
      </c>
      <c r="G871" s="6" t="n">
        <f aca="false">F871-C871</f>
        <v>-4.52956056447363</v>
      </c>
      <c r="H871" s="4" t="str">
        <f aca="false">IF(G871&gt;2,"LATE",IF(G871&lt;-13,"EARLY","IN"))</f>
        <v>IN</v>
      </c>
      <c r="I871" s="4" t="n">
        <f aca="false">C871-D871</f>
        <v>21</v>
      </c>
    </row>
    <row r="872" customFormat="false" ht="15" hidden="false" customHeight="false" outlineLevel="0" collapsed="false">
      <c r="A872" s="4" t="n">
        <v>18</v>
      </c>
      <c r="B872" s="4" t="n">
        <v>110</v>
      </c>
      <c r="C872" s="4" t="n">
        <v>277</v>
      </c>
      <c r="D872" s="4" t="n">
        <v>253</v>
      </c>
      <c r="E872" s="6" t="n">
        <v>12.8081605266802</v>
      </c>
      <c r="F872" s="6" t="n">
        <f aca="false">D872+E872</f>
        <v>265.80816052668</v>
      </c>
      <c r="G872" s="6" t="n">
        <f aca="false">F872-C872</f>
        <v>-11.1918394733198</v>
      </c>
      <c r="H872" s="4" t="str">
        <f aca="false">IF(G872&gt;2,"LATE",IF(G872&lt;-13,"EARLY","IN"))</f>
        <v>IN</v>
      </c>
      <c r="I872" s="4" t="n">
        <f aca="false">C872-D872</f>
        <v>24</v>
      </c>
    </row>
    <row r="873" customFormat="false" ht="15" hidden="false" customHeight="false" outlineLevel="0" collapsed="false">
      <c r="A873" s="4" t="n">
        <v>18</v>
      </c>
      <c r="B873" s="4" t="n">
        <v>111</v>
      </c>
      <c r="C873" s="4" t="n">
        <v>227</v>
      </c>
      <c r="D873" s="4" t="n">
        <v>208</v>
      </c>
      <c r="E873" s="6" t="n">
        <v>14.7310049854445</v>
      </c>
      <c r="F873" s="6" t="n">
        <f aca="false">D873+E873</f>
        <v>222.731004985445</v>
      </c>
      <c r="G873" s="6" t="n">
        <f aca="false">F873-C873</f>
        <v>-4.26899501455546</v>
      </c>
      <c r="H873" s="4" t="str">
        <f aca="false">IF(G873&gt;2,"LATE",IF(G873&lt;-13,"EARLY","IN"))</f>
        <v>IN</v>
      </c>
      <c r="I873" s="4" t="n">
        <f aca="false">C873-D873</f>
        <v>19</v>
      </c>
    </row>
    <row r="874" customFormat="false" ht="15" hidden="false" customHeight="false" outlineLevel="0" collapsed="false">
      <c r="A874" s="4" t="n">
        <v>18</v>
      </c>
      <c r="B874" s="4" t="n">
        <v>117</v>
      </c>
      <c r="C874" s="4" t="n">
        <v>212</v>
      </c>
      <c r="D874" s="4" t="n">
        <v>194</v>
      </c>
      <c r="E874" s="6" t="n">
        <v>13.3214767425324</v>
      </c>
      <c r="F874" s="6" t="n">
        <f aca="false">D874+E874</f>
        <v>207.321476742532</v>
      </c>
      <c r="G874" s="6" t="n">
        <f aca="false">F874-C874</f>
        <v>-4.67852325746762</v>
      </c>
      <c r="H874" s="4" t="str">
        <f aca="false">IF(G874&gt;2,"LATE",IF(G874&lt;-13,"EARLY","IN"))</f>
        <v>IN</v>
      </c>
      <c r="I874" s="4" t="n">
        <f aca="false">C874-D874</f>
        <v>18</v>
      </c>
    </row>
    <row r="875" customFormat="false" ht="15" hidden="false" customHeight="false" outlineLevel="0" collapsed="false">
      <c r="A875" s="4" t="n">
        <v>18</v>
      </c>
      <c r="B875" s="4" t="n">
        <v>122</v>
      </c>
      <c r="C875" s="4" t="n">
        <v>237</v>
      </c>
      <c r="D875" s="4" t="n">
        <v>214</v>
      </c>
      <c r="E875" s="6" t="n">
        <v>12.0577873068377</v>
      </c>
      <c r="F875" s="6" t="n">
        <f aca="false">D875+E875</f>
        <v>226.057787306838</v>
      </c>
      <c r="G875" s="6" t="n">
        <f aca="false">F875-C875</f>
        <v>-10.9422126931623</v>
      </c>
      <c r="H875" s="4" t="str">
        <f aca="false">IF(G875&gt;2,"LATE",IF(G875&lt;-13,"EARLY","IN"))</f>
        <v>IN</v>
      </c>
      <c r="I875" s="4" t="n">
        <f aca="false">C875-D875</f>
        <v>23</v>
      </c>
    </row>
    <row r="876" customFormat="false" ht="15" hidden="false" customHeight="false" outlineLevel="0" collapsed="false">
      <c r="A876" s="4" t="n">
        <v>18</v>
      </c>
      <c r="B876" s="4" t="n">
        <v>123</v>
      </c>
      <c r="C876" s="4" t="n">
        <v>254</v>
      </c>
      <c r="D876" s="4" t="n">
        <v>229</v>
      </c>
      <c r="E876" s="6" t="n">
        <v>15.9593307294881</v>
      </c>
      <c r="F876" s="6" t="n">
        <f aca="false">D876+E876</f>
        <v>244.959330729488</v>
      </c>
      <c r="G876" s="6" t="n">
        <f aca="false">F876-C876</f>
        <v>-9.04066927051187</v>
      </c>
      <c r="H876" s="4" t="str">
        <f aca="false">IF(G876&gt;2,"LATE",IF(G876&lt;-13,"EARLY","IN"))</f>
        <v>IN</v>
      </c>
      <c r="I876" s="4" t="n">
        <f aca="false">C876-D876</f>
        <v>25</v>
      </c>
    </row>
    <row r="877" customFormat="false" ht="15" hidden="false" customHeight="false" outlineLevel="0" collapsed="false">
      <c r="A877" s="4" t="n">
        <v>18</v>
      </c>
      <c r="B877" s="4" t="n">
        <v>125</v>
      </c>
      <c r="C877" s="4" t="n">
        <v>245</v>
      </c>
      <c r="D877" s="4" t="n">
        <v>222</v>
      </c>
      <c r="E877" s="6" t="n">
        <v>14.8565611517941</v>
      </c>
      <c r="F877" s="6" t="n">
        <f aca="false">D877+E877</f>
        <v>236.856561151794</v>
      </c>
      <c r="G877" s="6" t="n">
        <f aca="false">F877-C877</f>
        <v>-8.14343884820588</v>
      </c>
      <c r="H877" s="4" t="str">
        <f aca="false">IF(G877&gt;2,"LATE",IF(G877&lt;-13,"EARLY","IN"))</f>
        <v>IN</v>
      </c>
      <c r="I877" s="4" t="n">
        <f aca="false">C877-D877</f>
        <v>23</v>
      </c>
    </row>
    <row r="878" customFormat="false" ht="15" hidden="false" customHeight="false" outlineLevel="0" collapsed="false">
      <c r="A878" s="4" t="n">
        <v>18</v>
      </c>
      <c r="B878" s="4" t="n">
        <v>129</v>
      </c>
      <c r="C878" s="4" t="n">
        <v>147</v>
      </c>
      <c r="D878" s="4" t="n">
        <v>130</v>
      </c>
      <c r="E878" s="6" t="n">
        <v>15.6211460513521</v>
      </c>
      <c r="F878" s="6" t="n">
        <f aca="false">D878+E878</f>
        <v>145.621146051352</v>
      </c>
      <c r="G878" s="6" t="n">
        <f aca="false">F878-C878</f>
        <v>-1.3788539486479</v>
      </c>
      <c r="H878" s="4" t="str">
        <f aca="false">IF(G878&gt;2,"LATE",IF(G878&lt;-13,"EARLY","IN"))</f>
        <v>IN</v>
      </c>
      <c r="I878" s="4" t="n">
        <f aca="false">C878-D878</f>
        <v>17</v>
      </c>
    </row>
    <row r="879" customFormat="false" ht="15" hidden="false" customHeight="false" outlineLevel="0" collapsed="false">
      <c r="A879" s="4" t="n">
        <v>18</v>
      </c>
      <c r="B879" s="4" t="n">
        <v>130</v>
      </c>
      <c r="C879" s="4" t="n">
        <v>143</v>
      </c>
      <c r="D879" s="4" t="n">
        <v>130</v>
      </c>
      <c r="E879" s="6" t="n">
        <v>17.0010522169489</v>
      </c>
      <c r="F879" s="6" t="n">
        <f aca="false">D879+E879</f>
        <v>147.001052216949</v>
      </c>
      <c r="G879" s="6" t="n">
        <f aca="false">F879-C879</f>
        <v>4.00105221694892</v>
      </c>
      <c r="H879" s="4" t="str">
        <f aca="false">IF(G879&gt;2,"LATE",IF(G879&lt;-13,"EARLY","IN"))</f>
        <v>LATE</v>
      </c>
      <c r="I879" s="4" t="n">
        <f aca="false">C879-D879</f>
        <v>13</v>
      </c>
    </row>
    <row r="880" customFormat="false" ht="15" hidden="false" customHeight="false" outlineLevel="0" collapsed="false">
      <c r="A880" s="4" t="n">
        <v>18</v>
      </c>
      <c r="B880" s="4" t="n">
        <v>134</v>
      </c>
      <c r="C880" s="4" t="n">
        <v>173</v>
      </c>
      <c r="D880" s="4" t="n">
        <v>153</v>
      </c>
      <c r="E880" s="6" t="n">
        <v>13.7679639637871</v>
      </c>
      <c r="F880" s="6" t="n">
        <f aca="false">D880+E880</f>
        <v>166.767963963787</v>
      </c>
      <c r="G880" s="6" t="n">
        <f aca="false">F880-C880</f>
        <v>-6.23203603621295</v>
      </c>
      <c r="H880" s="4" t="str">
        <f aca="false">IF(G880&gt;2,"LATE",IF(G880&lt;-13,"EARLY","IN"))</f>
        <v>IN</v>
      </c>
      <c r="I880" s="4" t="n">
        <f aca="false">C880-D880</f>
        <v>20</v>
      </c>
    </row>
    <row r="881" customFormat="false" ht="15" hidden="false" customHeight="false" outlineLevel="0" collapsed="false">
      <c r="A881" s="4" t="n">
        <v>18</v>
      </c>
      <c r="B881" s="4" t="n">
        <v>143</v>
      </c>
      <c r="C881" s="4" t="n">
        <v>149</v>
      </c>
      <c r="D881" s="4" t="n">
        <v>142</v>
      </c>
      <c r="E881" s="6" t="n">
        <v>9.89993797291086</v>
      </c>
      <c r="F881" s="6" t="n">
        <f aca="false">D881+E881</f>
        <v>151.899937972911</v>
      </c>
      <c r="G881" s="6" t="n">
        <f aca="false">F881-C881</f>
        <v>2.89993797291086</v>
      </c>
      <c r="H881" s="4" t="str">
        <f aca="false">IF(G881&gt;2,"LATE",IF(G881&lt;-13,"EARLY","IN"))</f>
        <v>LATE</v>
      </c>
      <c r="I881" s="4" t="n">
        <f aca="false">C881-D881</f>
        <v>7</v>
      </c>
    </row>
    <row r="882" customFormat="false" ht="15" hidden="false" customHeight="false" outlineLevel="0" collapsed="false">
      <c r="A882" s="4" t="n">
        <v>18</v>
      </c>
      <c r="B882" s="4" t="n">
        <v>144</v>
      </c>
      <c r="C882" s="4" t="n">
        <v>272</v>
      </c>
      <c r="D882" s="4" t="n">
        <v>254</v>
      </c>
      <c r="E882" s="6" t="n">
        <v>17.894649522622</v>
      </c>
      <c r="F882" s="6" t="n">
        <f aca="false">D882+E882</f>
        <v>271.894649522622</v>
      </c>
      <c r="G882" s="6" t="n">
        <f aca="false">F882-C882</f>
        <v>-0.105350477377954</v>
      </c>
      <c r="H882" s="4" t="str">
        <f aca="false">IF(G882&gt;2,"LATE",IF(G882&lt;-13,"EARLY","IN"))</f>
        <v>IN</v>
      </c>
      <c r="I882" s="4" t="n">
        <f aca="false">C882-D882</f>
        <v>18</v>
      </c>
    </row>
    <row r="883" customFormat="false" ht="15" hidden="false" customHeight="false" outlineLevel="0" collapsed="false">
      <c r="A883" s="4" t="n">
        <v>18</v>
      </c>
      <c r="B883" s="4" t="n">
        <v>148</v>
      </c>
      <c r="C883" s="4" t="n">
        <v>264</v>
      </c>
      <c r="D883" s="4" t="n">
        <v>238</v>
      </c>
      <c r="E883" s="6" t="n">
        <v>17.4223325677958</v>
      </c>
      <c r="F883" s="6" t="n">
        <f aca="false">D883+E883</f>
        <v>255.422332567796</v>
      </c>
      <c r="G883" s="6" t="n">
        <f aca="false">F883-C883</f>
        <v>-8.57766743220418</v>
      </c>
      <c r="H883" s="4" t="str">
        <f aca="false">IF(G883&gt;2,"LATE",IF(G883&lt;-13,"EARLY","IN"))</f>
        <v>IN</v>
      </c>
      <c r="I883" s="4" t="n">
        <f aca="false">C883-D883</f>
        <v>26</v>
      </c>
    </row>
    <row r="884" customFormat="false" ht="15" hidden="false" customHeight="false" outlineLevel="0" collapsed="false">
      <c r="A884" s="4" t="n">
        <v>18</v>
      </c>
      <c r="B884" s="4" t="n">
        <v>151</v>
      </c>
      <c r="C884" s="4" t="n">
        <v>317</v>
      </c>
      <c r="D884" s="4" t="n">
        <v>294</v>
      </c>
      <c r="E884" s="6" t="n">
        <v>10.7808790999683</v>
      </c>
      <c r="F884" s="6" t="n">
        <f aca="false">D884+E884</f>
        <v>304.780879099968</v>
      </c>
      <c r="G884" s="6" t="n">
        <f aca="false">F884-C884</f>
        <v>-12.2191209000317</v>
      </c>
      <c r="H884" s="4" t="str">
        <f aca="false">IF(G884&gt;2,"LATE",IF(G884&lt;-13,"EARLY","IN"))</f>
        <v>IN</v>
      </c>
      <c r="I884" s="4" t="n">
        <f aca="false">C884-D884</f>
        <v>23</v>
      </c>
    </row>
    <row r="885" customFormat="false" ht="15" hidden="false" customHeight="false" outlineLevel="0" collapsed="false">
      <c r="A885" s="4" t="n">
        <v>18</v>
      </c>
      <c r="B885" s="4" t="n">
        <v>152</v>
      </c>
      <c r="C885" s="4" t="n">
        <v>213</v>
      </c>
      <c r="D885" s="4" t="n">
        <v>193</v>
      </c>
      <c r="E885" s="6" t="n">
        <v>14.3993496653287</v>
      </c>
      <c r="F885" s="6" t="n">
        <f aca="false">D885+E885</f>
        <v>207.399349665329</v>
      </c>
      <c r="G885" s="6" t="n">
        <f aca="false">F885-C885</f>
        <v>-5.60065033467132</v>
      </c>
      <c r="H885" s="4" t="str">
        <f aca="false">IF(G885&gt;2,"LATE",IF(G885&lt;-13,"EARLY","IN"))</f>
        <v>IN</v>
      </c>
      <c r="I885" s="4" t="n">
        <f aca="false">C885-D885</f>
        <v>20</v>
      </c>
    </row>
    <row r="886" customFormat="false" ht="15" hidden="false" customHeight="false" outlineLevel="0" collapsed="false">
      <c r="A886" s="4" t="n">
        <v>18</v>
      </c>
      <c r="B886" s="4" t="n">
        <v>153</v>
      </c>
      <c r="C886" s="4" t="n">
        <v>277</v>
      </c>
      <c r="D886" s="4" t="n">
        <v>242</v>
      </c>
      <c r="E886" s="6" t="n">
        <v>16.3883733188168</v>
      </c>
      <c r="F886" s="6" t="n">
        <f aca="false">D886+E886</f>
        <v>258.388373318817</v>
      </c>
      <c r="G886" s="6" t="n">
        <f aca="false">F886-C886</f>
        <v>-18.6116266811832</v>
      </c>
      <c r="H886" s="4" t="str">
        <f aca="false">IF(G886&gt;2,"LATE",IF(G886&lt;-13,"EARLY","IN"))</f>
        <v>EARLY</v>
      </c>
      <c r="I886" s="4" t="n">
        <f aca="false">C886-D886</f>
        <v>35</v>
      </c>
    </row>
    <row r="887" customFormat="false" ht="15" hidden="false" customHeight="false" outlineLevel="0" collapsed="false">
      <c r="A887" s="4" t="n">
        <v>18</v>
      </c>
      <c r="B887" s="4" t="n">
        <v>157</v>
      </c>
      <c r="C887" s="4" t="n">
        <v>202</v>
      </c>
      <c r="D887" s="4" t="n">
        <v>183</v>
      </c>
      <c r="E887" s="6" t="n">
        <v>15.8795968992434</v>
      </c>
      <c r="F887" s="6" t="n">
        <f aca="false">D887+E887</f>
        <v>198.879596899243</v>
      </c>
      <c r="G887" s="6" t="n">
        <f aca="false">F887-C887</f>
        <v>-3.12040310075665</v>
      </c>
      <c r="H887" s="4" t="str">
        <f aca="false">IF(G887&gt;2,"LATE",IF(G887&lt;-13,"EARLY","IN"))</f>
        <v>IN</v>
      </c>
      <c r="I887" s="4" t="n">
        <f aca="false">C887-D887</f>
        <v>19</v>
      </c>
    </row>
    <row r="888" customFormat="false" ht="15" hidden="false" customHeight="false" outlineLevel="0" collapsed="false">
      <c r="A888" s="4" t="n">
        <v>18</v>
      </c>
      <c r="B888" s="4" t="n">
        <v>158</v>
      </c>
      <c r="C888" s="4" t="n">
        <v>167</v>
      </c>
      <c r="D888" s="4" t="n">
        <v>150</v>
      </c>
      <c r="E888" s="6" t="n">
        <v>11.8260758345311</v>
      </c>
      <c r="F888" s="6" t="n">
        <f aca="false">D888+E888</f>
        <v>161.826075834531</v>
      </c>
      <c r="G888" s="6" t="n">
        <f aca="false">F888-C888</f>
        <v>-5.17392416546892</v>
      </c>
      <c r="H888" s="4" t="str">
        <f aca="false">IF(G888&gt;2,"LATE",IF(G888&lt;-13,"EARLY","IN"))</f>
        <v>IN</v>
      </c>
      <c r="I888" s="4" t="n">
        <f aca="false">C888-D888</f>
        <v>17</v>
      </c>
    </row>
    <row r="889" customFormat="false" ht="15" hidden="false" customHeight="false" outlineLevel="0" collapsed="false">
      <c r="A889" s="4" t="n">
        <v>18</v>
      </c>
      <c r="B889" s="4" t="n">
        <v>160</v>
      </c>
      <c r="C889" s="4" t="n">
        <v>147</v>
      </c>
      <c r="D889" s="4" t="n">
        <v>129</v>
      </c>
      <c r="E889" s="6" t="n">
        <v>15.5032853529893</v>
      </c>
      <c r="F889" s="6" t="n">
        <f aca="false">D889+E889</f>
        <v>144.503285352989</v>
      </c>
      <c r="G889" s="6" t="n">
        <f aca="false">F889-C889</f>
        <v>-2.49671464701069</v>
      </c>
      <c r="H889" s="4" t="str">
        <f aca="false">IF(G889&gt;2,"LATE",IF(G889&lt;-13,"EARLY","IN"))</f>
        <v>IN</v>
      </c>
      <c r="I889" s="4" t="n">
        <f aca="false">C889-D889</f>
        <v>18</v>
      </c>
    </row>
    <row r="890" customFormat="false" ht="15" hidden="false" customHeight="false" outlineLevel="0" collapsed="false">
      <c r="A890" s="4" t="n">
        <v>18</v>
      </c>
      <c r="B890" s="4" t="n">
        <v>166</v>
      </c>
      <c r="C890" s="4" t="n">
        <v>229</v>
      </c>
      <c r="D890" s="4" t="n">
        <v>213</v>
      </c>
      <c r="E890" s="6" t="n">
        <v>14.8885594180132</v>
      </c>
      <c r="F890" s="6" t="n">
        <f aca="false">D890+E890</f>
        <v>227.888559418013</v>
      </c>
      <c r="G890" s="6" t="n">
        <f aca="false">F890-C890</f>
        <v>-1.11144058198676</v>
      </c>
      <c r="H890" s="4" t="str">
        <f aca="false">IF(G890&gt;2,"LATE",IF(G890&lt;-13,"EARLY","IN"))</f>
        <v>IN</v>
      </c>
      <c r="I890" s="4" t="n">
        <f aca="false">C890-D890</f>
        <v>16</v>
      </c>
    </row>
    <row r="891" customFormat="false" ht="15" hidden="false" customHeight="false" outlineLevel="0" collapsed="false">
      <c r="A891" s="4" t="n">
        <v>18</v>
      </c>
      <c r="B891" s="4" t="n">
        <v>167</v>
      </c>
      <c r="C891" s="4" t="n">
        <v>177</v>
      </c>
      <c r="D891" s="4" t="n">
        <v>162</v>
      </c>
      <c r="E891" s="6" t="n">
        <v>15.4505240110788</v>
      </c>
      <c r="F891" s="6" t="n">
        <f aca="false">D891+E891</f>
        <v>177.450524011079</v>
      </c>
      <c r="G891" s="6" t="n">
        <f aca="false">F891-C891</f>
        <v>0.450524011078784</v>
      </c>
      <c r="H891" s="4" t="str">
        <f aca="false">IF(G891&gt;2,"LATE",IF(G891&lt;-13,"EARLY","IN"))</f>
        <v>IN</v>
      </c>
      <c r="I891" s="4" t="n">
        <f aca="false">C891-D891</f>
        <v>15</v>
      </c>
    </row>
    <row r="892" customFormat="false" ht="15" hidden="false" customHeight="false" outlineLevel="0" collapsed="false">
      <c r="A892" s="4" t="n">
        <v>18</v>
      </c>
      <c r="B892" s="4" t="n">
        <v>174</v>
      </c>
      <c r="C892" s="4" t="n">
        <v>178</v>
      </c>
      <c r="D892" s="4" t="n">
        <v>165</v>
      </c>
      <c r="E892" s="6" t="n">
        <v>13.6351501978925</v>
      </c>
      <c r="F892" s="6" t="n">
        <f aca="false">D892+E892</f>
        <v>178.635150197893</v>
      </c>
      <c r="G892" s="6" t="n">
        <f aca="false">F892-C892</f>
        <v>0.6351501978925</v>
      </c>
      <c r="H892" s="4" t="str">
        <f aca="false">IF(G892&gt;2,"LATE",IF(G892&lt;-13,"EARLY","IN"))</f>
        <v>IN</v>
      </c>
      <c r="I892" s="4" t="n">
        <f aca="false">C892-D892</f>
        <v>13</v>
      </c>
    </row>
    <row r="893" customFormat="false" ht="15" hidden="false" customHeight="false" outlineLevel="0" collapsed="false">
      <c r="A893" s="4" t="n">
        <v>18</v>
      </c>
      <c r="B893" s="4" t="n">
        <v>183</v>
      </c>
      <c r="C893" s="4" t="n">
        <v>225</v>
      </c>
      <c r="D893" s="4" t="n">
        <v>207</v>
      </c>
      <c r="E893" s="6" t="n">
        <v>14.805899748955</v>
      </c>
      <c r="F893" s="6" t="n">
        <f aca="false">D893+E893</f>
        <v>221.805899748955</v>
      </c>
      <c r="G893" s="6" t="n">
        <f aca="false">F893-C893</f>
        <v>-3.19410025104506</v>
      </c>
      <c r="H893" s="4" t="str">
        <f aca="false">IF(G893&gt;2,"LATE",IF(G893&lt;-13,"EARLY","IN"))</f>
        <v>IN</v>
      </c>
      <c r="I893" s="4" t="n">
        <f aca="false">C893-D893</f>
        <v>18</v>
      </c>
    </row>
    <row r="894" customFormat="false" ht="15" hidden="false" customHeight="false" outlineLevel="0" collapsed="false">
      <c r="A894" s="4" t="n">
        <v>18</v>
      </c>
      <c r="B894" s="4" t="n">
        <v>184</v>
      </c>
      <c r="C894" s="4" t="n">
        <v>160</v>
      </c>
      <c r="D894" s="4" t="n">
        <v>143</v>
      </c>
      <c r="E894" s="6" t="n">
        <v>13.8346606232251</v>
      </c>
      <c r="F894" s="6" t="n">
        <f aca="false">D894+E894</f>
        <v>156.834660623225</v>
      </c>
      <c r="G894" s="6" t="n">
        <f aca="false">F894-C894</f>
        <v>-3.16533937677488</v>
      </c>
      <c r="H894" s="4" t="str">
        <f aca="false">IF(G894&gt;2,"LATE",IF(G894&lt;-13,"EARLY","IN"))</f>
        <v>IN</v>
      </c>
      <c r="I894" s="4" t="n">
        <f aca="false">C894-D894</f>
        <v>17</v>
      </c>
    </row>
    <row r="895" customFormat="false" ht="15" hidden="false" customHeight="false" outlineLevel="0" collapsed="false">
      <c r="A895" s="4" t="n">
        <v>18</v>
      </c>
      <c r="B895" s="4" t="n">
        <v>185</v>
      </c>
      <c r="C895" s="4" t="n">
        <v>198</v>
      </c>
      <c r="D895" s="4" t="n">
        <v>179</v>
      </c>
      <c r="E895" s="6" t="n">
        <v>14.4758946679865</v>
      </c>
      <c r="F895" s="6" t="n">
        <f aca="false">D895+E895</f>
        <v>193.475894667987</v>
      </c>
      <c r="G895" s="6" t="n">
        <f aca="false">F895-C895</f>
        <v>-4.52410533201348</v>
      </c>
      <c r="H895" s="4" t="str">
        <f aca="false">IF(G895&gt;2,"LATE",IF(G895&lt;-13,"EARLY","IN"))</f>
        <v>IN</v>
      </c>
      <c r="I895" s="4" t="n">
        <f aca="false">C895-D895</f>
        <v>19</v>
      </c>
    </row>
    <row r="896" customFormat="false" ht="15" hidden="false" customHeight="false" outlineLevel="0" collapsed="false">
      <c r="A896" s="4" t="n">
        <v>18</v>
      </c>
      <c r="B896" s="4" t="n">
        <v>188</v>
      </c>
      <c r="C896" s="4" t="n">
        <v>246</v>
      </c>
      <c r="D896" s="4" t="n">
        <v>219</v>
      </c>
      <c r="E896" s="6" t="n">
        <v>17.4409720551</v>
      </c>
      <c r="F896" s="6" t="n">
        <f aca="false">D896+E896</f>
        <v>236.4409720551</v>
      </c>
      <c r="G896" s="6" t="n">
        <f aca="false">F896-C896</f>
        <v>-9.55902794490004</v>
      </c>
      <c r="H896" s="4" t="str">
        <f aca="false">IF(G896&gt;2,"LATE",IF(G896&lt;-13,"EARLY","IN"))</f>
        <v>IN</v>
      </c>
      <c r="I896" s="4" t="n">
        <f aca="false">C896-D896</f>
        <v>27</v>
      </c>
    </row>
    <row r="897" customFormat="false" ht="15" hidden="false" customHeight="false" outlineLevel="0" collapsed="false">
      <c r="A897" s="4" t="n">
        <v>18</v>
      </c>
      <c r="B897" s="4" t="n">
        <v>200</v>
      </c>
      <c r="C897" s="4" t="n">
        <v>182</v>
      </c>
      <c r="D897" s="4" t="n">
        <v>164</v>
      </c>
      <c r="E897" s="6" t="n">
        <v>16.457077299899</v>
      </c>
      <c r="F897" s="6" t="n">
        <f aca="false">D897+E897</f>
        <v>180.457077299899</v>
      </c>
      <c r="G897" s="6" t="n">
        <f aca="false">F897-C897</f>
        <v>-1.542922700101</v>
      </c>
      <c r="H897" s="4" t="str">
        <f aca="false">IF(G897&gt;2,"LATE",IF(G897&lt;-13,"EARLY","IN"))</f>
        <v>IN</v>
      </c>
      <c r="I897" s="4" t="n">
        <f aca="false">C897-D897</f>
        <v>18</v>
      </c>
    </row>
    <row r="898" customFormat="false" ht="15" hidden="false" customHeight="false" outlineLevel="0" collapsed="false">
      <c r="A898" s="4" t="n">
        <v>18</v>
      </c>
      <c r="B898" s="4" t="n">
        <v>205</v>
      </c>
      <c r="C898" s="4" t="n">
        <v>135</v>
      </c>
      <c r="D898" s="4" t="n">
        <v>120</v>
      </c>
      <c r="E898" s="6" t="n">
        <v>12.5687477366024</v>
      </c>
      <c r="F898" s="6" t="n">
        <f aca="false">D898+E898</f>
        <v>132.568747736602</v>
      </c>
      <c r="G898" s="6" t="n">
        <f aca="false">F898-C898</f>
        <v>-2.43125226339762</v>
      </c>
      <c r="H898" s="4" t="str">
        <f aca="false">IF(G898&gt;2,"LATE",IF(G898&lt;-13,"EARLY","IN"))</f>
        <v>IN</v>
      </c>
      <c r="I898" s="4" t="n">
        <f aca="false">C898-D898</f>
        <v>15</v>
      </c>
    </row>
    <row r="899" customFormat="false" ht="15" hidden="false" customHeight="false" outlineLevel="0" collapsed="false">
      <c r="A899" s="4" t="n">
        <v>18</v>
      </c>
      <c r="B899" s="4" t="n">
        <v>212</v>
      </c>
      <c r="C899" s="4" t="n">
        <v>277</v>
      </c>
      <c r="D899" s="4" t="n">
        <v>250</v>
      </c>
      <c r="E899" s="6" t="n">
        <v>13.9738817059046</v>
      </c>
      <c r="F899" s="6" t="n">
        <f aca="false">D899+E899</f>
        <v>263.973881705905</v>
      </c>
      <c r="G899" s="6" t="n">
        <f aca="false">F899-C899</f>
        <v>-13.0261182940954</v>
      </c>
      <c r="H899" s="4" t="str">
        <f aca="false">IF(G899&gt;2,"LATE",IF(G899&lt;-13,"EARLY","IN"))</f>
        <v>EARLY</v>
      </c>
      <c r="I899" s="4" t="n">
        <f aca="false">C899-D899</f>
        <v>27</v>
      </c>
    </row>
    <row r="900" customFormat="false" ht="15" hidden="false" customHeight="false" outlineLevel="0" collapsed="false">
      <c r="A900" s="4" t="n">
        <v>18</v>
      </c>
      <c r="B900" s="4" t="n">
        <v>213</v>
      </c>
      <c r="C900" s="4" t="n">
        <v>263</v>
      </c>
      <c r="D900" s="4" t="n">
        <v>242</v>
      </c>
      <c r="E900" s="6" t="n">
        <v>13.0608339157215</v>
      </c>
      <c r="F900" s="6" t="n">
        <f aca="false">D900+E900</f>
        <v>255.060833915721</v>
      </c>
      <c r="G900" s="6" t="n">
        <f aca="false">F900-C900</f>
        <v>-7.93916608427853</v>
      </c>
      <c r="H900" s="4" t="str">
        <f aca="false">IF(G900&gt;2,"LATE",IF(G900&lt;-13,"EARLY","IN"))</f>
        <v>IN</v>
      </c>
      <c r="I900" s="4" t="n">
        <f aca="false">C900-D900</f>
        <v>21</v>
      </c>
    </row>
    <row r="901" customFormat="false" ht="15" hidden="false" customHeight="false" outlineLevel="0" collapsed="false">
      <c r="A901" s="4" t="n">
        <v>18</v>
      </c>
      <c r="B901" s="4" t="n">
        <v>218</v>
      </c>
      <c r="C901" s="4" t="n">
        <v>133</v>
      </c>
      <c r="D901" s="4" t="n">
        <v>122</v>
      </c>
      <c r="E901" s="6" t="n">
        <v>8.25376164633851</v>
      </c>
      <c r="F901" s="6" t="n">
        <f aca="false">D901+E901</f>
        <v>130.253761646339</v>
      </c>
      <c r="G901" s="6" t="n">
        <f aca="false">F901-C901</f>
        <v>-2.74623835366148</v>
      </c>
      <c r="H901" s="4" t="str">
        <f aca="false">IF(G901&gt;2,"LATE",IF(G901&lt;-13,"EARLY","IN"))</f>
        <v>IN</v>
      </c>
      <c r="I901" s="4" t="n">
        <f aca="false">C901-D901</f>
        <v>11</v>
      </c>
    </row>
    <row r="902" customFormat="false" ht="15" hidden="false" customHeight="false" outlineLevel="0" collapsed="false">
      <c r="A902" s="4" t="n">
        <v>19</v>
      </c>
      <c r="B902" s="4" t="n">
        <v>3</v>
      </c>
      <c r="C902" s="4" t="n">
        <v>150</v>
      </c>
      <c r="D902" s="4" t="n">
        <v>141</v>
      </c>
      <c r="E902" s="6" t="n">
        <v>9.46450220668053</v>
      </c>
      <c r="F902" s="6" t="n">
        <f aca="false">D902+E902</f>
        <v>150.464502206681</v>
      </c>
      <c r="G902" s="6" t="n">
        <f aca="false">F902-C902</f>
        <v>0.464502206680521</v>
      </c>
      <c r="H902" s="4" t="str">
        <f aca="false">IF(G902&gt;2,"LATE",IF(G902&lt;-13,"EARLY","IN"))</f>
        <v>IN</v>
      </c>
      <c r="I902" s="4" t="n">
        <f aca="false">C902-D902</f>
        <v>9</v>
      </c>
    </row>
    <row r="903" customFormat="false" ht="15" hidden="false" customHeight="false" outlineLevel="0" collapsed="false">
      <c r="A903" s="4" t="n">
        <v>19</v>
      </c>
      <c r="B903" s="4" t="n">
        <v>12</v>
      </c>
      <c r="C903" s="4" t="n">
        <v>242</v>
      </c>
      <c r="D903" s="4" t="n">
        <v>219</v>
      </c>
      <c r="E903" s="6" t="n">
        <v>16.8323609981941</v>
      </c>
      <c r="F903" s="6" t="n">
        <f aca="false">D903+E903</f>
        <v>235.832360998194</v>
      </c>
      <c r="G903" s="6" t="n">
        <f aca="false">F903-C903</f>
        <v>-6.1676390018059</v>
      </c>
      <c r="H903" s="4" t="str">
        <f aca="false">IF(G903&gt;2,"LATE",IF(G903&lt;-13,"EARLY","IN"))</f>
        <v>IN</v>
      </c>
      <c r="I903" s="4" t="n">
        <f aca="false">C903-D903</f>
        <v>23</v>
      </c>
    </row>
    <row r="904" customFormat="false" ht="15" hidden="false" customHeight="false" outlineLevel="0" collapsed="false">
      <c r="A904" s="4" t="n">
        <v>19</v>
      </c>
      <c r="B904" s="4" t="n">
        <v>14</v>
      </c>
      <c r="C904" s="4" t="n">
        <v>147</v>
      </c>
      <c r="D904" s="4" t="n">
        <v>131</v>
      </c>
      <c r="E904" s="6" t="n">
        <v>13.4419480407356</v>
      </c>
      <c r="F904" s="6" t="n">
        <f aca="false">D904+E904</f>
        <v>144.441948040736</v>
      </c>
      <c r="G904" s="6" t="n">
        <f aca="false">F904-C904</f>
        <v>-2.55805195926436</v>
      </c>
      <c r="H904" s="4" t="str">
        <f aca="false">IF(G904&gt;2,"LATE",IF(G904&lt;-13,"EARLY","IN"))</f>
        <v>IN</v>
      </c>
      <c r="I904" s="4" t="n">
        <f aca="false">C904-D904</f>
        <v>16</v>
      </c>
    </row>
    <row r="905" customFormat="false" ht="15" hidden="false" customHeight="false" outlineLevel="0" collapsed="false">
      <c r="A905" s="4" t="n">
        <v>19</v>
      </c>
      <c r="B905" s="4" t="n">
        <v>15</v>
      </c>
      <c r="C905" s="4" t="n">
        <v>178</v>
      </c>
      <c r="D905" s="4" t="n">
        <v>161</v>
      </c>
      <c r="E905" s="6" t="n">
        <v>13.7564491724434</v>
      </c>
      <c r="F905" s="6" t="n">
        <f aca="false">D905+E905</f>
        <v>174.756449172443</v>
      </c>
      <c r="G905" s="6" t="n">
        <f aca="false">F905-C905</f>
        <v>-3.24355082755656</v>
      </c>
      <c r="H905" s="4" t="str">
        <f aca="false">IF(G905&gt;2,"LATE",IF(G905&lt;-13,"EARLY","IN"))</f>
        <v>IN</v>
      </c>
      <c r="I905" s="4" t="n">
        <f aca="false">C905-D905</f>
        <v>17</v>
      </c>
    </row>
    <row r="906" customFormat="false" ht="15" hidden="false" customHeight="false" outlineLevel="0" collapsed="false">
      <c r="A906" s="4" t="n">
        <v>19</v>
      </c>
      <c r="B906" s="4" t="n">
        <v>18</v>
      </c>
      <c r="C906" s="4" t="n">
        <v>196</v>
      </c>
      <c r="D906" s="4" t="n">
        <v>175</v>
      </c>
      <c r="E906" s="6" t="n">
        <v>14.6955994982225</v>
      </c>
      <c r="F906" s="6" t="n">
        <f aca="false">D906+E906</f>
        <v>189.695599498223</v>
      </c>
      <c r="G906" s="6" t="n">
        <f aca="false">F906-C906</f>
        <v>-6.30440050177748</v>
      </c>
      <c r="H906" s="4" t="str">
        <f aca="false">IF(G906&gt;2,"LATE",IF(G906&lt;-13,"EARLY","IN"))</f>
        <v>IN</v>
      </c>
      <c r="I906" s="4" t="n">
        <f aca="false">C906-D906</f>
        <v>21</v>
      </c>
    </row>
    <row r="907" customFormat="false" ht="15" hidden="false" customHeight="false" outlineLevel="0" collapsed="false">
      <c r="A907" s="4" t="n">
        <v>19</v>
      </c>
      <c r="B907" s="4" t="n">
        <v>19</v>
      </c>
      <c r="C907" s="4" t="n">
        <v>167</v>
      </c>
      <c r="D907" s="4" t="n">
        <v>147</v>
      </c>
      <c r="E907" s="6" t="n">
        <v>13.8754408449947</v>
      </c>
      <c r="F907" s="6" t="n">
        <f aca="false">D907+E907</f>
        <v>160.875440844995</v>
      </c>
      <c r="G907" s="6" t="n">
        <f aca="false">F907-C907</f>
        <v>-6.12455915500527</v>
      </c>
      <c r="H907" s="4" t="str">
        <f aca="false">IF(G907&gt;2,"LATE",IF(G907&lt;-13,"EARLY","IN"))</f>
        <v>IN</v>
      </c>
      <c r="I907" s="4" t="n">
        <f aca="false">C907-D907</f>
        <v>20</v>
      </c>
    </row>
    <row r="908" customFormat="false" ht="15" hidden="false" customHeight="false" outlineLevel="0" collapsed="false">
      <c r="A908" s="4" t="n">
        <v>19</v>
      </c>
      <c r="B908" s="4" t="n">
        <v>20</v>
      </c>
      <c r="C908" s="4" t="n">
        <v>154</v>
      </c>
      <c r="D908" s="4" t="n">
        <v>138</v>
      </c>
      <c r="E908" s="6" t="n">
        <v>15.7232270957075</v>
      </c>
      <c r="F908" s="6" t="n">
        <f aca="false">D908+E908</f>
        <v>153.723227095708</v>
      </c>
      <c r="G908" s="6" t="n">
        <f aca="false">F908-C908</f>
        <v>-0.2767729042925</v>
      </c>
      <c r="H908" s="4" t="str">
        <f aca="false">IF(G908&gt;2,"LATE",IF(G908&lt;-13,"EARLY","IN"))</f>
        <v>IN</v>
      </c>
      <c r="I908" s="4" t="n">
        <f aca="false">C908-D908</f>
        <v>16</v>
      </c>
    </row>
    <row r="909" customFormat="false" ht="15" hidden="false" customHeight="false" outlineLevel="0" collapsed="false">
      <c r="A909" s="4" t="n">
        <v>19</v>
      </c>
      <c r="B909" s="4" t="n">
        <v>22</v>
      </c>
      <c r="C909" s="4" t="n">
        <v>203</v>
      </c>
      <c r="D909" s="4" t="n">
        <v>180</v>
      </c>
      <c r="E909" s="6" t="n">
        <v>13.4917108877289</v>
      </c>
      <c r="F909" s="6" t="n">
        <f aca="false">D909+E909</f>
        <v>193.491710887729</v>
      </c>
      <c r="G909" s="6" t="n">
        <f aca="false">F909-C909</f>
        <v>-9.50828911227109</v>
      </c>
      <c r="H909" s="4" t="str">
        <f aca="false">IF(G909&gt;2,"LATE",IF(G909&lt;-13,"EARLY","IN"))</f>
        <v>IN</v>
      </c>
      <c r="I909" s="4" t="n">
        <f aca="false">C909-D909</f>
        <v>23</v>
      </c>
    </row>
    <row r="910" customFormat="false" ht="15" hidden="false" customHeight="false" outlineLevel="0" collapsed="false">
      <c r="A910" s="4" t="n">
        <v>19</v>
      </c>
      <c r="B910" s="4" t="n">
        <v>24</v>
      </c>
      <c r="C910" s="4" t="n">
        <v>191</v>
      </c>
      <c r="D910" s="4" t="n">
        <v>170</v>
      </c>
      <c r="E910" s="6" t="n">
        <v>16.307082239236</v>
      </c>
      <c r="F910" s="6" t="n">
        <f aca="false">D910+E910</f>
        <v>186.307082239236</v>
      </c>
      <c r="G910" s="6" t="n">
        <f aca="false">F910-C910</f>
        <v>-4.69291776076398</v>
      </c>
      <c r="H910" s="4" t="str">
        <f aca="false">IF(G910&gt;2,"LATE",IF(G910&lt;-13,"EARLY","IN"))</f>
        <v>IN</v>
      </c>
      <c r="I910" s="4" t="n">
        <f aca="false">C910-D910</f>
        <v>21</v>
      </c>
    </row>
    <row r="911" customFormat="false" ht="15" hidden="false" customHeight="false" outlineLevel="0" collapsed="false">
      <c r="A911" s="4" t="n">
        <v>19</v>
      </c>
      <c r="B911" s="4" t="n">
        <v>25</v>
      </c>
      <c r="C911" s="4" t="n">
        <v>281</v>
      </c>
      <c r="D911" s="4" t="n">
        <v>255</v>
      </c>
      <c r="E911" s="6" t="n">
        <v>16.9711109864803</v>
      </c>
      <c r="F911" s="6" t="n">
        <f aca="false">D911+E911</f>
        <v>271.97111098648</v>
      </c>
      <c r="G911" s="6" t="n">
        <f aca="false">F911-C911</f>
        <v>-9.02888901351975</v>
      </c>
      <c r="H911" s="4" t="str">
        <f aca="false">IF(G911&gt;2,"LATE",IF(G911&lt;-13,"EARLY","IN"))</f>
        <v>IN</v>
      </c>
      <c r="I911" s="4" t="n">
        <f aca="false">C911-D911</f>
        <v>26</v>
      </c>
    </row>
    <row r="912" customFormat="false" ht="15" hidden="false" customHeight="false" outlineLevel="0" collapsed="false">
      <c r="A912" s="4" t="n">
        <v>19</v>
      </c>
      <c r="B912" s="4" t="n">
        <v>37</v>
      </c>
      <c r="C912" s="4" t="n">
        <v>177</v>
      </c>
      <c r="D912" s="4" t="n">
        <v>162</v>
      </c>
      <c r="E912" s="6" t="n">
        <v>13.7672051115171</v>
      </c>
      <c r="F912" s="6" t="n">
        <f aca="false">D912+E912</f>
        <v>175.767205111517</v>
      </c>
      <c r="G912" s="6" t="n">
        <f aca="false">F912-C912</f>
        <v>-1.23279488848289</v>
      </c>
      <c r="H912" s="4" t="str">
        <f aca="false">IF(G912&gt;2,"LATE",IF(G912&lt;-13,"EARLY","IN"))</f>
        <v>IN</v>
      </c>
      <c r="I912" s="4" t="n">
        <f aca="false">C912-D912</f>
        <v>15</v>
      </c>
    </row>
    <row r="913" customFormat="false" ht="15" hidden="false" customHeight="false" outlineLevel="0" collapsed="false">
      <c r="A913" s="4" t="n">
        <v>19</v>
      </c>
      <c r="B913" s="4" t="n">
        <v>38</v>
      </c>
      <c r="C913" s="4" t="n">
        <v>287</v>
      </c>
      <c r="D913" s="4" t="n">
        <v>262</v>
      </c>
      <c r="E913" s="6" t="n">
        <v>16.4524974473217</v>
      </c>
      <c r="F913" s="6" t="n">
        <f aca="false">D913+E913</f>
        <v>278.452497447322</v>
      </c>
      <c r="G913" s="6" t="n">
        <f aca="false">F913-C913</f>
        <v>-8.54750255267828</v>
      </c>
      <c r="H913" s="4" t="str">
        <f aca="false">IF(G913&gt;2,"LATE",IF(G913&lt;-13,"EARLY","IN"))</f>
        <v>IN</v>
      </c>
      <c r="I913" s="4" t="n">
        <f aca="false">C913-D913</f>
        <v>25</v>
      </c>
    </row>
    <row r="914" customFormat="false" ht="15" hidden="false" customHeight="false" outlineLevel="0" collapsed="false">
      <c r="A914" s="4" t="n">
        <v>19</v>
      </c>
      <c r="B914" s="4" t="n">
        <v>49</v>
      </c>
      <c r="C914" s="4" t="n">
        <v>285</v>
      </c>
      <c r="D914" s="4" t="n">
        <v>258</v>
      </c>
      <c r="E914" s="6" t="n">
        <v>15.5856581078746</v>
      </c>
      <c r="F914" s="6" t="n">
        <f aca="false">D914+E914</f>
        <v>273.585658107875</v>
      </c>
      <c r="G914" s="6" t="n">
        <f aca="false">F914-C914</f>
        <v>-11.4143418921254</v>
      </c>
      <c r="H914" s="4" t="str">
        <f aca="false">IF(G914&gt;2,"LATE",IF(G914&lt;-13,"EARLY","IN"))</f>
        <v>IN</v>
      </c>
      <c r="I914" s="4" t="n">
        <f aca="false">C914-D914</f>
        <v>27</v>
      </c>
    </row>
    <row r="915" customFormat="false" ht="15" hidden="false" customHeight="false" outlineLevel="0" collapsed="false">
      <c r="A915" s="4" t="n">
        <v>19</v>
      </c>
      <c r="B915" s="4" t="n">
        <v>51</v>
      </c>
      <c r="C915" s="4" t="n">
        <v>182</v>
      </c>
      <c r="D915" s="4" t="n">
        <v>163</v>
      </c>
      <c r="E915" s="6" t="n">
        <v>15.4834820625008</v>
      </c>
      <c r="F915" s="6" t="n">
        <f aca="false">D915+E915</f>
        <v>178.483482062501</v>
      </c>
      <c r="G915" s="6" t="n">
        <f aca="false">F915-C915</f>
        <v>-3.51651793749917</v>
      </c>
      <c r="H915" s="4" t="str">
        <f aca="false">IF(G915&gt;2,"LATE",IF(G915&lt;-13,"EARLY","IN"))</f>
        <v>IN</v>
      </c>
      <c r="I915" s="4" t="n">
        <f aca="false">C915-D915</f>
        <v>19</v>
      </c>
    </row>
    <row r="916" customFormat="false" ht="15" hidden="false" customHeight="false" outlineLevel="0" collapsed="false">
      <c r="A916" s="4" t="n">
        <v>19</v>
      </c>
      <c r="B916" s="4" t="n">
        <v>57</v>
      </c>
      <c r="C916" s="4" t="n">
        <v>150</v>
      </c>
      <c r="D916" s="4" t="n">
        <v>129</v>
      </c>
      <c r="E916" s="6" t="n">
        <v>13.8630068471378</v>
      </c>
      <c r="F916" s="6" t="n">
        <f aca="false">D916+E916</f>
        <v>142.863006847138</v>
      </c>
      <c r="G916" s="6" t="n">
        <f aca="false">F916-C916</f>
        <v>-7.1369931528622</v>
      </c>
      <c r="H916" s="4" t="str">
        <f aca="false">IF(G916&gt;2,"LATE",IF(G916&lt;-13,"EARLY","IN"))</f>
        <v>IN</v>
      </c>
      <c r="I916" s="4" t="n">
        <f aca="false">C916-D916</f>
        <v>21</v>
      </c>
    </row>
    <row r="917" customFormat="false" ht="15" hidden="false" customHeight="false" outlineLevel="0" collapsed="false">
      <c r="A917" s="4" t="n">
        <v>19</v>
      </c>
      <c r="B917" s="4" t="n">
        <v>58</v>
      </c>
      <c r="C917" s="4" t="n">
        <v>147</v>
      </c>
      <c r="D917" s="4" t="n">
        <v>133</v>
      </c>
      <c r="E917" s="6" t="n">
        <v>12.2393006258565</v>
      </c>
      <c r="F917" s="6" t="n">
        <f aca="false">D917+E917</f>
        <v>145.239300625857</v>
      </c>
      <c r="G917" s="6" t="n">
        <f aca="false">F917-C917</f>
        <v>-1.76069937414351</v>
      </c>
      <c r="H917" s="4" t="str">
        <f aca="false">IF(G917&gt;2,"LATE",IF(G917&lt;-13,"EARLY","IN"))</f>
        <v>IN</v>
      </c>
      <c r="I917" s="4" t="n">
        <f aca="false">C917-D917</f>
        <v>14</v>
      </c>
    </row>
    <row r="918" customFormat="false" ht="15" hidden="false" customHeight="false" outlineLevel="0" collapsed="false">
      <c r="A918" s="4" t="n">
        <v>19</v>
      </c>
      <c r="B918" s="4" t="n">
        <v>69</v>
      </c>
      <c r="C918" s="4" t="n">
        <v>170</v>
      </c>
      <c r="D918" s="4" t="n">
        <v>157</v>
      </c>
      <c r="E918" s="6" t="n">
        <v>11.4421871145379</v>
      </c>
      <c r="F918" s="6" t="n">
        <f aca="false">D918+E918</f>
        <v>168.442187114538</v>
      </c>
      <c r="G918" s="6" t="n">
        <f aca="false">F918-C918</f>
        <v>-1.55781288546211</v>
      </c>
      <c r="H918" s="4" t="str">
        <f aca="false">IF(G918&gt;2,"LATE",IF(G918&lt;-13,"EARLY","IN"))</f>
        <v>IN</v>
      </c>
      <c r="I918" s="4" t="n">
        <f aca="false">C918-D918</f>
        <v>13</v>
      </c>
    </row>
    <row r="919" customFormat="false" ht="15" hidden="false" customHeight="false" outlineLevel="0" collapsed="false">
      <c r="A919" s="4" t="n">
        <v>19</v>
      </c>
      <c r="B919" s="4" t="n">
        <v>70</v>
      </c>
      <c r="C919" s="4" t="n">
        <v>175</v>
      </c>
      <c r="D919" s="4" t="n">
        <v>157</v>
      </c>
      <c r="E919" s="6" t="n">
        <v>16.3043354282494</v>
      </c>
      <c r="F919" s="6" t="n">
        <f aca="false">D919+E919</f>
        <v>173.304335428249</v>
      </c>
      <c r="G919" s="6" t="n">
        <f aca="false">F919-C919</f>
        <v>-1.69566457175057</v>
      </c>
      <c r="H919" s="4" t="str">
        <f aca="false">IF(G919&gt;2,"LATE",IF(G919&lt;-13,"EARLY","IN"))</f>
        <v>IN</v>
      </c>
      <c r="I919" s="4" t="n">
        <f aca="false">C919-D919</f>
        <v>18</v>
      </c>
    </row>
    <row r="920" customFormat="false" ht="15" hidden="false" customHeight="false" outlineLevel="0" collapsed="false">
      <c r="A920" s="4" t="n">
        <v>19</v>
      </c>
      <c r="B920" s="4" t="n">
        <v>71</v>
      </c>
      <c r="C920" s="4" t="n">
        <v>225</v>
      </c>
      <c r="D920" s="4" t="n">
        <v>204</v>
      </c>
      <c r="E920" s="6" t="n">
        <v>15.6451514139087</v>
      </c>
      <c r="F920" s="6" t="n">
        <f aca="false">D920+E920</f>
        <v>219.645151413909</v>
      </c>
      <c r="G920" s="6" t="n">
        <f aca="false">F920-C920</f>
        <v>-5.35484858609135</v>
      </c>
      <c r="H920" s="4" t="str">
        <f aca="false">IF(G920&gt;2,"LATE",IF(G920&lt;-13,"EARLY","IN"))</f>
        <v>IN</v>
      </c>
      <c r="I920" s="4" t="n">
        <f aca="false">C920-D920</f>
        <v>21</v>
      </c>
    </row>
    <row r="921" customFormat="false" ht="15" hidden="false" customHeight="false" outlineLevel="0" collapsed="false">
      <c r="A921" s="4" t="n">
        <v>19</v>
      </c>
      <c r="B921" s="4" t="n">
        <v>72</v>
      </c>
      <c r="C921" s="4" t="n">
        <v>235</v>
      </c>
      <c r="D921" s="4" t="n">
        <v>212</v>
      </c>
      <c r="E921" s="6" t="n">
        <v>15.3913975867755</v>
      </c>
      <c r="F921" s="6" t="n">
        <f aca="false">D921+E921</f>
        <v>227.391397586775</v>
      </c>
      <c r="G921" s="6" t="n">
        <f aca="false">F921-C921</f>
        <v>-7.60860241322453</v>
      </c>
      <c r="H921" s="4" t="str">
        <f aca="false">IF(G921&gt;2,"LATE",IF(G921&lt;-13,"EARLY","IN"))</f>
        <v>IN</v>
      </c>
      <c r="I921" s="4" t="n">
        <f aca="false">C921-D921</f>
        <v>23</v>
      </c>
    </row>
    <row r="922" customFormat="false" ht="15" hidden="false" customHeight="false" outlineLevel="0" collapsed="false">
      <c r="A922" s="4" t="n">
        <v>19</v>
      </c>
      <c r="B922" s="4" t="n">
        <v>78</v>
      </c>
      <c r="C922" s="4" t="n">
        <v>228</v>
      </c>
      <c r="D922" s="4" t="n">
        <v>200</v>
      </c>
      <c r="E922" s="6" t="n">
        <v>16.0232453857356</v>
      </c>
      <c r="F922" s="6" t="n">
        <f aca="false">D922+E922</f>
        <v>216.023245385736</v>
      </c>
      <c r="G922" s="6" t="n">
        <f aca="false">F922-C922</f>
        <v>-11.9767546142644</v>
      </c>
      <c r="H922" s="4" t="str">
        <f aca="false">IF(G922&gt;2,"LATE",IF(G922&lt;-13,"EARLY","IN"))</f>
        <v>IN</v>
      </c>
      <c r="I922" s="4" t="n">
        <f aca="false">C922-D922</f>
        <v>28</v>
      </c>
    </row>
    <row r="923" customFormat="false" ht="15" hidden="false" customHeight="false" outlineLevel="0" collapsed="false">
      <c r="A923" s="4" t="n">
        <v>19</v>
      </c>
      <c r="B923" s="4" t="n">
        <v>82</v>
      </c>
      <c r="C923" s="4" t="n">
        <v>223</v>
      </c>
      <c r="D923" s="4" t="n">
        <v>213</v>
      </c>
      <c r="E923" s="6" t="n">
        <v>10.7148905312995</v>
      </c>
      <c r="F923" s="6" t="n">
        <f aca="false">D923+E923</f>
        <v>223.714890531299</v>
      </c>
      <c r="G923" s="6" t="n">
        <f aca="false">F923-C923</f>
        <v>0.71489053129946</v>
      </c>
      <c r="H923" s="4" t="str">
        <f aca="false">IF(G923&gt;2,"LATE",IF(G923&lt;-13,"EARLY","IN"))</f>
        <v>IN</v>
      </c>
      <c r="I923" s="4" t="n">
        <f aca="false">C923-D923</f>
        <v>10</v>
      </c>
    </row>
    <row r="924" customFormat="false" ht="15" hidden="false" customHeight="false" outlineLevel="0" collapsed="false">
      <c r="A924" s="4" t="n">
        <v>19</v>
      </c>
      <c r="B924" s="4" t="n">
        <v>83</v>
      </c>
      <c r="C924" s="4" t="n">
        <v>231</v>
      </c>
      <c r="D924" s="4" t="n">
        <v>216</v>
      </c>
      <c r="E924" s="6" t="n">
        <v>9.47080959379181</v>
      </c>
      <c r="F924" s="6" t="n">
        <f aca="false">D924+E924</f>
        <v>225.470809593792</v>
      </c>
      <c r="G924" s="6" t="n">
        <f aca="false">F924-C924</f>
        <v>-5.52919040620819</v>
      </c>
      <c r="H924" s="4" t="str">
        <f aca="false">IF(G924&gt;2,"LATE",IF(G924&lt;-13,"EARLY","IN"))</f>
        <v>IN</v>
      </c>
      <c r="I924" s="4" t="n">
        <f aca="false">C924-D924</f>
        <v>15</v>
      </c>
    </row>
    <row r="925" customFormat="false" ht="15" hidden="false" customHeight="false" outlineLevel="0" collapsed="false">
      <c r="A925" s="4" t="n">
        <v>19</v>
      </c>
      <c r="B925" s="4" t="n">
        <v>90</v>
      </c>
      <c r="C925" s="4" t="n">
        <v>190</v>
      </c>
      <c r="D925" s="4" t="n">
        <v>170</v>
      </c>
      <c r="E925" s="6" t="n">
        <v>13.2159100009187</v>
      </c>
      <c r="F925" s="6" t="n">
        <f aca="false">D925+E925</f>
        <v>183.215910000919</v>
      </c>
      <c r="G925" s="6" t="n">
        <f aca="false">F925-C925</f>
        <v>-6.78408999908129</v>
      </c>
      <c r="H925" s="4" t="str">
        <f aca="false">IF(G925&gt;2,"LATE",IF(G925&lt;-13,"EARLY","IN"))</f>
        <v>IN</v>
      </c>
      <c r="I925" s="4" t="n">
        <f aca="false">C925-D925</f>
        <v>20</v>
      </c>
    </row>
    <row r="926" customFormat="false" ht="15" hidden="false" customHeight="false" outlineLevel="0" collapsed="false">
      <c r="A926" s="4" t="n">
        <v>19</v>
      </c>
      <c r="B926" s="4" t="n">
        <v>91</v>
      </c>
      <c r="C926" s="4" t="n">
        <v>199</v>
      </c>
      <c r="D926" s="4" t="n">
        <v>180</v>
      </c>
      <c r="E926" s="6" t="n">
        <v>15.1937765281337</v>
      </c>
      <c r="F926" s="6" t="n">
        <f aca="false">D926+E926</f>
        <v>195.193776528134</v>
      </c>
      <c r="G926" s="6" t="n">
        <f aca="false">F926-C926</f>
        <v>-3.8062234718663</v>
      </c>
      <c r="H926" s="4" t="str">
        <f aca="false">IF(G926&gt;2,"LATE",IF(G926&lt;-13,"EARLY","IN"))</f>
        <v>IN</v>
      </c>
      <c r="I926" s="4" t="n">
        <f aca="false">C926-D926</f>
        <v>19</v>
      </c>
    </row>
    <row r="927" customFormat="false" ht="15" hidden="false" customHeight="false" outlineLevel="0" collapsed="false">
      <c r="A927" s="4" t="n">
        <v>19</v>
      </c>
      <c r="B927" s="4" t="n">
        <v>92</v>
      </c>
      <c r="C927" s="4" t="n">
        <v>207</v>
      </c>
      <c r="D927" s="4" t="n">
        <v>187</v>
      </c>
      <c r="E927" s="6" t="n">
        <v>15.5620341662005</v>
      </c>
      <c r="F927" s="6" t="n">
        <f aca="false">D927+E927</f>
        <v>202.562034166201</v>
      </c>
      <c r="G927" s="6" t="n">
        <f aca="false">F927-C927</f>
        <v>-4.4379658337995</v>
      </c>
      <c r="H927" s="4" t="str">
        <f aca="false">IF(G927&gt;2,"LATE",IF(G927&lt;-13,"EARLY","IN"))</f>
        <v>IN</v>
      </c>
      <c r="I927" s="4" t="n">
        <f aca="false">C927-D927</f>
        <v>20</v>
      </c>
    </row>
    <row r="928" customFormat="false" ht="15" hidden="false" customHeight="false" outlineLevel="0" collapsed="false">
      <c r="A928" s="4" t="n">
        <v>19</v>
      </c>
      <c r="B928" s="4" t="n">
        <v>95</v>
      </c>
      <c r="C928" s="4" t="n">
        <v>234</v>
      </c>
      <c r="D928" s="4" t="n">
        <v>217</v>
      </c>
      <c r="E928" s="6" t="n">
        <v>10.2602844740417</v>
      </c>
      <c r="F928" s="6" t="n">
        <f aca="false">D928+E928</f>
        <v>227.260284474042</v>
      </c>
      <c r="G928" s="6" t="n">
        <f aca="false">F928-C928</f>
        <v>-6.7397155259583</v>
      </c>
      <c r="H928" s="4" t="str">
        <f aca="false">IF(G928&gt;2,"LATE",IF(G928&lt;-13,"EARLY","IN"))</f>
        <v>IN</v>
      </c>
      <c r="I928" s="4" t="n">
        <f aca="false">C928-D928</f>
        <v>17</v>
      </c>
    </row>
    <row r="929" customFormat="false" ht="15" hidden="false" customHeight="false" outlineLevel="0" collapsed="false">
      <c r="A929" s="4" t="n">
        <v>19</v>
      </c>
      <c r="B929" s="4" t="n">
        <v>96</v>
      </c>
      <c r="C929" s="4" t="n">
        <v>339</v>
      </c>
      <c r="D929" s="4" t="n">
        <v>308</v>
      </c>
      <c r="E929" s="6" t="n">
        <v>16.3443679312947</v>
      </c>
      <c r="F929" s="6" t="n">
        <f aca="false">D929+E929</f>
        <v>324.344367931295</v>
      </c>
      <c r="G929" s="6" t="n">
        <f aca="false">F929-C929</f>
        <v>-14.6556320687053</v>
      </c>
      <c r="H929" s="4" t="str">
        <f aca="false">IF(G929&gt;2,"LATE",IF(G929&lt;-13,"EARLY","IN"))</f>
        <v>EARLY</v>
      </c>
      <c r="I929" s="4" t="n">
        <f aca="false">C929-D929</f>
        <v>31</v>
      </c>
    </row>
    <row r="930" customFormat="false" ht="15" hidden="false" customHeight="false" outlineLevel="0" collapsed="false">
      <c r="A930" s="4" t="n">
        <v>19</v>
      </c>
      <c r="B930" s="4" t="n">
        <v>102</v>
      </c>
      <c r="C930" s="4" t="n">
        <v>222</v>
      </c>
      <c r="D930" s="4" t="n">
        <v>203</v>
      </c>
      <c r="E930" s="6" t="n">
        <v>16.0296728911016</v>
      </c>
      <c r="F930" s="6" t="n">
        <f aca="false">D930+E930</f>
        <v>219.029672891102</v>
      </c>
      <c r="G930" s="6" t="n">
        <f aca="false">F930-C930</f>
        <v>-2.9703271088984</v>
      </c>
      <c r="H930" s="4" t="str">
        <f aca="false">IF(G930&gt;2,"LATE",IF(G930&lt;-13,"EARLY","IN"))</f>
        <v>IN</v>
      </c>
      <c r="I930" s="4" t="n">
        <f aca="false">C930-D930</f>
        <v>19</v>
      </c>
    </row>
    <row r="931" customFormat="false" ht="15" hidden="false" customHeight="false" outlineLevel="0" collapsed="false">
      <c r="A931" s="4" t="n">
        <v>19</v>
      </c>
      <c r="B931" s="4" t="n">
        <v>103</v>
      </c>
      <c r="C931" s="4" t="n">
        <v>243</v>
      </c>
      <c r="D931" s="4" t="n">
        <v>227</v>
      </c>
      <c r="E931" s="6" t="n">
        <v>14.4029892219314</v>
      </c>
      <c r="F931" s="6" t="n">
        <f aca="false">D931+E931</f>
        <v>241.402989221931</v>
      </c>
      <c r="G931" s="6" t="n">
        <f aca="false">F931-C931</f>
        <v>-1.59701077806858</v>
      </c>
      <c r="H931" s="4" t="str">
        <f aca="false">IF(G931&gt;2,"LATE",IF(G931&lt;-13,"EARLY","IN"))</f>
        <v>IN</v>
      </c>
      <c r="I931" s="4" t="n">
        <f aca="false">C931-D931</f>
        <v>16</v>
      </c>
    </row>
    <row r="932" customFormat="false" ht="15" hidden="false" customHeight="false" outlineLevel="0" collapsed="false">
      <c r="A932" s="4" t="n">
        <v>19</v>
      </c>
      <c r="B932" s="4" t="n">
        <v>105</v>
      </c>
      <c r="C932" s="4" t="n">
        <v>149</v>
      </c>
      <c r="D932" s="4" t="n">
        <v>137</v>
      </c>
      <c r="E932" s="6" t="n">
        <v>13.6294387637264</v>
      </c>
      <c r="F932" s="6" t="n">
        <f aca="false">D932+E932</f>
        <v>150.629438763726</v>
      </c>
      <c r="G932" s="6" t="n">
        <f aca="false">F932-C932</f>
        <v>1.62943876372637</v>
      </c>
      <c r="H932" s="4" t="str">
        <f aca="false">IF(G932&gt;2,"LATE",IF(G932&lt;-13,"EARLY","IN"))</f>
        <v>IN</v>
      </c>
      <c r="I932" s="4" t="n">
        <f aca="false">C932-D932</f>
        <v>12</v>
      </c>
    </row>
    <row r="933" customFormat="false" ht="15" hidden="false" customHeight="false" outlineLevel="0" collapsed="false">
      <c r="A933" s="4" t="n">
        <v>19</v>
      </c>
      <c r="B933" s="4" t="n">
        <v>112</v>
      </c>
      <c r="C933" s="4" t="n">
        <v>226</v>
      </c>
      <c r="D933" s="4" t="n">
        <v>208</v>
      </c>
      <c r="E933" s="6" t="n">
        <v>15.5651080498895</v>
      </c>
      <c r="F933" s="6" t="n">
        <f aca="false">D933+E933</f>
        <v>223.56510804989</v>
      </c>
      <c r="G933" s="6" t="n">
        <f aca="false">F933-C933</f>
        <v>-2.43489195011048</v>
      </c>
      <c r="H933" s="4" t="str">
        <f aca="false">IF(G933&gt;2,"LATE",IF(G933&lt;-13,"EARLY","IN"))</f>
        <v>IN</v>
      </c>
      <c r="I933" s="4" t="n">
        <f aca="false">C933-D933</f>
        <v>18</v>
      </c>
    </row>
    <row r="934" customFormat="false" ht="15" hidden="false" customHeight="false" outlineLevel="0" collapsed="false">
      <c r="A934" s="4" t="n">
        <v>19</v>
      </c>
      <c r="B934" s="4" t="n">
        <v>124</v>
      </c>
      <c r="C934" s="4" t="n">
        <v>197</v>
      </c>
      <c r="D934" s="4" t="n">
        <v>181</v>
      </c>
      <c r="E934" s="6" t="n">
        <v>14.2635687869152</v>
      </c>
      <c r="F934" s="6" t="n">
        <f aca="false">D934+E934</f>
        <v>195.263568786915</v>
      </c>
      <c r="G934" s="6" t="n">
        <f aca="false">F934-C934</f>
        <v>-1.73643121308476</v>
      </c>
      <c r="H934" s="4" t="str">
        <f aca="false">IF(G934&gt;2,"LATE",IF(G934&lt;-13,"EARLY","IN"))</f>
        <v>IN</v>
      </c>
      <c r="I934" s="4" t="n">
        <f aca="false">C934-D934</f>
        <v>16</v>
      </c>
    </row>
    <row r="935" customFormat="false" ht="15" hidden="false" customHeight="false" outlineLevel="0" collapsed="false">
      <c r="A935" s="4" t="n">
        <v>19</v>
      </c>
      <c r="B935" s="4" t="n">
        <v>127</v>
      </c>
      <c r="C935" s="4" t="n">
        <v>163</v>
      </c>
      <c r="D935" s="4" t="n">
        <v>143</v>
      </c>
      <c r="E935" s="6" t="n">
        <v>13.8532485331773</v>
      </c>
      <c r="F935" s="6" t="n">
        <f aca="false">D935+E935</f>
        <v>156.853248533177</v>
      </c>
      <c r="G935" s="6" t="n">
        <f aca="false">F935-C935</f>
        <v>-6.14675146682271</v>
      </c>
      <c r="H935" s="4" t="str">
        <f aca="false">IF(G935&gt;2,"LATE",IF(G935&lt;-13,"EARLY","IN"))</f>
        <v>IN</v>
      </c>
      <c r="I935" s="4" t="n">
        <f aca="false">C935-D935</f>
        <v>20</v>
      </c>
    </row>
    <row r="936" customFormat="false" ht="15" hidden="false" customHeight="false" outlineLevel="0" collapsed="false">
      <c r="A936" s="4" t="n">
        <v>19</v>
      </c>
      <c r="B936" s="4" t="n">
        <v>129</v>
      </c>
      <c r="C936" s="4" t="n">
        <v>147</v>
      </c>
      <c r="D936" s="4" t="n">
        <v>132</v>
      </c>
      <c r="E936" s="6" t="n">
        <v>14.2771159496122</v>
      </c>
      <c r="F936" s="6" t="n">
        <f aca="false">D936+E936</f>
        <v>146.277115949612</v>
      </c>
      <c r="G936" s="6" t="n">
        <f aca="false">F936-C936</f>
        <v>-0.722884050387819</v>
      </c>
      <c r="H936" s="4" t="str">
        <f aca="false">IF(G936&gt;2,"LATE",IF(G936&lt;-13,"EARLY","IN"))</f>
        <v>IN</v>
      </c>
      <c r="I936" s="4" t="n">
        <f aca="false">C936-D936</f>
        <v>15</v>
      </c>
    </row>
    <row r="937" customFormat="false" ht="15" hidden="false" customHeight="false" outlineLevel="0" collapsed="false">
      <c r="A937" s="4" t="n">
        <v>19</v>
      </c>
      <c r="B937" s="4" t="n">
        <v>146</v>
      </c>
      <c r="C937" s="4" t="n">
        <v>231</v>
      </c>
      <c r="D937" s="4" t="n">
        <v>215</v>
      </c>
      <c r="E937" s="6" t="n">
        <v>12.4332244208043</v>
      </c>
      <c r="F937" s="6" t="n">
        <f aca="false">D937+E937</f>
        <v>227.433224420804</v>
      </c>
      <c r="G937" s="6" t="n">
        <f aca="false">F937-C937</f>
        <v>-3.56677557919571</v>
      </c>
      <c r="H937" s="4" t="str">
        <f aca="false">IF(G937&gt;2,"LATE",IF(G937&lt;-13,"EARLY","IN"))</f>
        <v>IN</v>
      </c>
      <c r="I937" s="4" t="n">
        <f aca="false">C937-D937</f>
        <v>16</v>
      </c>
    </row>
    <row r="938" customFormat="false" ht="15" hidden="false" customHeight="false" outlineLevel="0" collapsed="false">
      <c r="A938" s="4" t="n">
        <v>19</v>
      </c>
      <c r="B938" s="4" t="n">
        <v>151</v>
      </c>
      <c r="C938" s="4" t="n">
        <v>317</v>
      </c>
      <c r="D938" s="4" t="n">
        <v>295</v>
      </c>
      <c r="E938" s="6" t="n">
        <v>12.2982263029844</v>
      </c>
      <c r="F938" s="6" t="n">
        <f aca="false">D938+E938</f>
        <v>307.298226302984</v>
      </c>
      <c r="G938" s="6" t="n">
        <f aca="false">F938-C938</f>
        <v>-9.7017736970156</v>
      </c>
      <c r="H938" s="4" t="str">
        <f aca="false">IF(G938&gt;2,"LATE",IF(G938&lt;-13,"EARLY","IN"))</f>
        <v>IN</v>
      </c>
      <c r="I938" s="4" t="n">
        <f aca="false">C938-D938</f>
        <v>22</v>
      </c>
    </row>
    <row r="939" customFormat="false" ht="15" hidden="false" customHeight="false" outlineLevel="0" collapsed="false">
      <c r="A939" s="4" t="n">
        <v>19</v>
      </c>
      <c r="B939" s="4" t="n">
        <v>161</v>
      </c>
      <c r="C939" s="4" t="n">
        <v>184</v>
      </c>
      <c r="D939" s="4" t="n">
        <v>170</v>
      </c>
      <c r="E939" s="6" t="n">
        <v>10.7640273600664</v>
      </c>
      <c r="F939" s="6" t="n">
        <f aca="false">D939+E939</f>
        <v>180.764027360066</v>
      </c>
      <c r="G939" s="6" t="n">
        <f aca="false">F939-C939</f>
        <v>-3.23597263993361</v>
      </c>
      <c r="H939" s="4" t="str">
        <f aca="false">IF(G939&gt;2,"LATE",IF(G939&lt;-13,"EARLY","IN"))</f>
        <v>IN</v>
      </c>
      <c r="I939" s="4" t="n">
        <f aca="false">C939-D939</f>
        <v>14</v>
      </c>
    </row>
    <row r="940" customFormat="false" ht="15" hidden="false" customHeight="false" outlineLevel="0" collapsed="false">
      <c r="A940" s="4" t="n">
        <v>19</v>
      </c>
      <c r="B940" s="4" t="n">
        <v>170</v>
      </c>
      <c r="C940" s="4" t="n">
        <v>302</v>
      </c>
      <c r="D940" s="4" t="n">
        <v>281</v>
      </c>
      <c r="E940" s="6" t="n">
        <v>15.4834900467049</v>
      </c>
      <c r="F940" s="6" t="n">
        <f aca="false">D940+E940</f>
        <v>296.483490046705</v>
      </c>
      <c r="G940" s="6" t="n">
        <f aca="false">F940-C940</f>
        <v>-5.5165099532951</v>
      </c>
      <c r="H940" s="4" t="str">
        <f aca="false">IF(G940&gt;2,"LATE",IF(G940&lt;-13,"EARLY","IN"))</f>
        <v>IN</v>
      </c>
      <c r="I940" s="4" t="n">
        <f aca="false">C940-D940</f>
        <v>21</v>
      </c>
    </row>
    <row r="941" customFormat="false" ht="15" hidden="false" customHeight="false" outlineLevel="0" collapsed="false">
      <c r="A941" s="4" t="n">
        <v>19</v>
      </c>
      <c r="B941" s="4" t="n">
        <v>172</v>
      </c>
      <c r="C941" s="4" t="n">
        <v>222</v>
      </c>
      <c r="D941" s="4" t="n">
        <v>211</v>
      </c>
      <c r="E941" s="6" t="n">
        <v>12.5943195709079</v>
      </c>
      <c r="F941" s="6" t="n">
        <f aca="false">D941+E941</f>
        <v>223.594319570908</v>
      </c>
      <c r="G941" s="6" t="n">
        <f aca="false">F941-C941</f>
        <v>1.59431957090791</v>
      </c>
      <c r="H941" s="4" t="str">
        <f aca="false">IF(G941&gt;2,"LATE",IF(G941&lt;-13,"EARLY","IN"))</f>
        <v>IN</v>
      </c>
      <c r="I941" s="4" t="n">
        <f aca="false">C941-D941</f>
        <v>11</v>
      </c>
    </row>
    <row r="942" customFormat="false" ht="15" hidden="false" customHeight="false" outlineLevel="0" collapsed="false">
      <c r="A942" s="4" t="n">
        <v>19</v>
      </c>
      <c r="B942" s="4" t="n">
        <v>182</v>
      </c>
      <c r="C942" s="4" t="n">
        <v>220</v>
      </c>
      <c r="D942" s="4" t="n">
        <v>195</v>
      </c>
      <c r="E942" s="6" t="n">
        <v>12.5473813192628</v>
      </c>
      <c r="F942" s="6" t="n">
        <f aca="false">D942+E942</f>
        <v>207.547381319263</v>
      </c>
      <c r="G942" s="6" t="n">
        <f aca="false">F942-C942</f>
        <v>-12.4526186807371</v>
      </c>
      <c r="H942" s="4" t="str">
        <f aca="false">IF(G942&gt;2,"LATE",IF(G942&lt;-13,"EARLY","IN"))</f>
        <v>IN</v>
      </c>
      <c r="I942" s="4" t="n">
        <f aca="false">C942-D942</f>
        <v>25</v>
      </c>
    </row>
    <row r="943" customFormat="false" ht="15" hidden="false" customHeight="false" outlineLevel="0" collapsed="false">
      <c r="A943" s="4" t="n">
        <v>19</v>
      </c>
      <c r="B943" s="4" t="n">
        <v>184</v>
      </c>
      <c r="C943" s="4" t="n">
        <v>160</v>
      </c>
      <c r="D943" s="4" t="n">
        <v>144</v>
      </c>
      <c r="E943" s="6" t="n">
        <v>13.097681702482</v>
      </c>
      <c r="F943" s="6" t="n">
        <f aca="false">D943+E943</f>
        <v>157.097681702482</v>
      </c>
      <c r="G943" s="6" t="n">
        <f aca="false">F943-C943</f>
        <v>-2.90231829751801</v>
      </c>
      <c r="H943" s="4" t="str">
        <f aca="false">IF(G943&gt;2,"LATE",IF(G943&lt;-13,"EARLY","IN"))</f>
        <v>IN</v>
      </c>
      <c r="I943" s="4" t="n">
        <f aca="false">C943-D943</f>
        <v>16</v>
      </c>
    </row>
    <row r="944" customFormat="false" ht="15" hidden="false" customHeight="false" outlineLevel="0" collapsed="false">
      <c r="A944" s="4" t="n">
        <v>19</v>
      </c>
      <c r="B944" s="4" t="n">
        <v>185</v>
      </c>
      <c r="C944" s="4" t="n">
        <v>198</v>
      </c>
      <c r="D944" s="4" t="n">
        <v>180</v>
      </c>
      <c r="E944" s="6" t="n">
        <v>16.7005801677007</v>
      </c>
      <c r="F944" s="6" t="n">
        <f aca="false">D944+E944</f>
        <v>196.700580167701</v>
      </c>
      <c r="G944" s="6" t="n">
        <f aca="false">F944-C944</f>
        <v>-1.29941983229926</v>
      </c>
      <c r="H944" s="4" t="str">
        <f aca="false">IF(G944&gt;2,"LATE",IF(G944&lt;-13,"EARLY","IN"))</f>
        <v>IN</v>
      </c>
      <c r="I944" s="4" t="n">
        <f aca="false">C944-D944</f>
        <v>18</v>
      </c>
    </row>
    <row r="945" customFormat="false" ht="15" hidden="false" customHeight="false" outlineLevel="0" collapsed="false">
      <c r="A945" s="4" t="n">
        <v>19</v>
      </c>
      <c r="B945" s="4" t="n">
        <v>189</v>
      </c>
      <c r="C945" s="4" t="n">
        <v>242</v>
      </c>
      <c r="D945" s="4" t="n">
        <v>229</v>
      </c>
      <c r="E945" s="6" t="n">
        <v>11.223421274723</v>
      </c>
      <c r="F945" s="6" t="n">
        <f aca="false">D945+E945</f>
        <v>240.223421274723</v>
      </c>
      <c r="G945" s="6" t="n">
        <f aca="false">F945-C945</f>
        <v>-1.77657872527698</v>
      </c>
      <c r="H945" s="4" t="str">
        <f aca="false">IF(G945&gt;2,"LATE",IF(G945&lt;-13,"EARLY","IN"))</f>
        <v>IN</v>
      </c>
      <c r="I945" s="4" t="n">
        <f aca="false">C945-D945</f>
        <v>13</v>
      </c>
    </row>
    <row r="946" customFormat="false" ht="15" hidden="false" customHeight="false" outlineLevel="0" collapsed="false">
      <c r="A946" s="4" t="n">
        <v>19</v>
      </c>
      <c r="B946" s="4" t="n">
        <v>193</v>
      </c>
      <c r="C946" s="4" t="n">
        <v>223</v>
      </c>
      <c r="D946" s="4" t="n">
        <v>196</v>
      </c>
      <c r="E946" s="6" t="n">
        <v>16.0882924218757</v>
      </c>
      <c r="F946" s="6" t="n">
        <f aca="false">D946+E946</f>
        <v>212.088292421876</v>
      </c>
      <c r="G946" s="6" t="n">
        <f aca="false">F946-C946</f>
        <v>-10.9117075781244</v>
      </c>
      <c r="H946" s="4" t="str">
        <f aca="false">IF(G946&gt;2,"LATE",IF(G946&lt;-13,"EARLY","IN"))</f>
        <v>IN</v>
      </c>
      <c r="I946" s="4" t="n">
        <f aca="false">C946-D946</f>
        <v>27</v>
      </c>
    </row>
    <row r="947" customFormat="false" ht="15" hidden="false" customHeight="false" outlineLevel="0" collapsed="false">
      <c r="A947" s="4" t="n">
        <v>19</v>
      </c>
      <c r="B947" s="4" t="n">
        <v>200</v>
      </c>
      <c r="C947" s="4" t="n">
        <v>182</v>
      </c>
      <c r="D947" s="4" t="n">
        <v>163</v>
      </c>
      <c r="E947" s="6" t="n">
        <v>14.7187660393192</v>
      </c>
      <c r="F947" s="6" t="n">
        <f aca="false">D947+E947</f>
        <v>177.718766039319</v>
      </c>
      <c r="G947" s="6" t="n">
        <f aca="false">F947-C947</f>
        <v>-4.28123396068079</v>
      </c>
      <c r="H947" s="4" t="str">
        <f aca="false">IF(G947&gt;2,"LATE",IF(G947&lt;-13,"EARLY","IN"))</f>
        <v>IN</v>
      </c>
      <c r="I947" s="4" t="n">
        <f aca="false">C947-D947</f>
        <v>19</v>
      </c>
    </row>
    <row r="948" customFormat="false" ht="15" hidden="false" customHeight="false" outlineLevel="0" collapsed="false">
      <c r="A948" s="4" t="n">
        <v>19</v>
      </c>
      <c r="B948" s="4" t="n">
        <v>205</v>
      </c>
      <c r="C948" s="4" t="n">
        <v>135</v>
      </c>
      <c r="D948" s="4" t="n">
        <v>121</v>
      </c>
      <c r="E948" s="6" t="n">
        <v>12.8642362749311</v>
      </c>
      <c r="F948" s="6" t="n">
        <f aca="false">D948+E948</f>
        <v>133.864236274931</v>
      </c>
      <c r="G948" s="6" t="n">
        <f aca="false">F948-C948</f>
        <v>-1.13576372506896</v>
      </c>
      <c r="H948" s="4" t="str">
        <f aca="false">IF(G948&gt;2,"LATE",IF(G948&lt;-13,"EARLY","IN"))</f>
        <v>IN</v>
      </c>
      <c r="I948" s="4" t="n">
        <f aca="false">C948-D948</f>
        <v>14</v>
      </c>
    </row>
    <row r="949" customFormat="false" ht="15" hidden="false" customHeight="false" outlineLevel="0" collapsed="false">
      <c r="A949" s="4" t="n">
        <v>19</v>
      </c>
      <c r="B949" s="4" t="n">
        <v>206</v>
      </c>
      <c r="C949" s="4" t="n">
        <v>155</v>
      </c>
      <c r="D949" s="4" t="n">
        <v>135</v>
      </c>
      <c r="E949" s="6" t="n">
        <v>14.6954354978077</v>
      </c>
      <c r="F949" s="6" t="n">
        <f aca="false">D949+E949</f>
        <v>149.695435497808</v>
      </c>
      <c r="G949" s="6" t="n">
        <f aca="false">F949-C949</f>
        <v>-5.30456450219231</v>
      </c>
      <c r="H949" s="4" t="str">
        <f aca="false">IF(G949&gt;2,"LATE",IF(G949&lt;-13,"EARLY","IN"))</f>
        <v>IN</v>
      </c>
      <c r="I949" s="4" t="n">
        <f aca="false">C949-D949</f>
        <v>20</v>
      </c>
    </row>
    <row r="950" customFormat="false" ht="15" hidden="false" customHeight="false" outlineLevel="0" collapsed="false">
      <c r="A950" s="4" t="n">
        <v>19</v>
      </c>
      <c r="B950" s="4" t="n">
        <v>209</v>
      </c>
      <c r="C950" s="4" t="n">
        <v>252</v>
      </c>
      <c r="D950" s="4" t="n">
        <v>229</v>
      </c>
      <c r="E950" s="6" t="n">
        <v>11.3989838772819</v>
      </c>
      <c r="F950" s="6" t="n">
        <f aca="false">D950+E950</f>
        <v>240.398983877282</v>
      </c>
      <c r="G950" s="6" t="n">
        <f aca="false">F950-C950</f>
        <v>-11.6010161227181</v>
      </c>
      <c r="H950" s="4" t="str">
        <f aca="false">IF(G950&gt;2,"LATE",IF(G950&lt;-13,"EARLY","IN"))</f>
        <v>IN</v>
      </c>
      <c r="I950" s="4" t="n">
        <f aca="false">C950-D950</f>
        <v>23</v>
      </c>
    </row>
    <row r="951" customFormat="false" ht="15" hidden="false" customHeight="false" outlineLevel="0" collapsed="false">
      <c r="A951" s="4" t="n">
        <v>19</v>
      </c>
      <c r="B951" s="4" t="n">
        <v>211</v>
      </c>
      <c r="C951" s="4" t="n">
        <v>211</v>
      </c>
      <c r="D951" s="4" t="n">
        <v>199</v>
      </c>
      <c r="E951" s="6" t="n">
        <v>14.8293631483137</v>
      </c>
      <c r="F951" s="6" t="n">
        <f aca="false">D951+E951</f>
        <v>213.829363148314</v>
      </c>
      <c r="G951" s="6" t="n">
        <f aca="false">F951-C951</f>
        <v>2.82936314831369</v>
      </c>
      <c r="H951" s="4" t="str">
        <f aca="false">IF(G951&gt;2,"LATE",IF(G951&lt;-13,"EARLY","IN"))</f>
        <v>LATE</v>
      </c>
      <c r="I951" s="4" t="n">
        <f aca="false">C951-D951</f>
        <v>12</v>
      </c>
    </row>
    <row r="952" customFormat="false" ht="15" hidden="false" customHeight="false" outlineLevel="0" collapsed="false">
      <c r="A952" s="4" t="n">
        <v>20</v>
      </c>
      <c r="B952" s="4" t="n">
        <v>6</v>
      </c>
      <c r="C952" s="4" t="n">
        <v>225</v>
      </c>
      <c r="D952" s="4" t="n">
        <v>210</v>
      </c>
      <c r="E952" s="6" t="n">
        <v>9.72676717561271</v>
      </c>
      <c r="F952" s="6" t="n">
        <f aca="false">D952+E952</f>
        <v>219.726767175613</v>
      </c>
      <c r="G952" s="6" t="n">
        <f aca="false">F952-C952</f>
        <v>-5.27323282438729</v>
      </c>
      <c r="H952" s="4" t="str">
        <f aca="false">IF(G952&gt;2,"LATE",IF(G952&lt;-13,"EARLY","IN"))</f>
        <v>IN</v>
      </c>
      <c r="I952" s="4" t="n">
        <f aca="false">C952-D952</f>
        <v>15</v>
      </c>
    </row>
    <row r="953" customFormat="false" ht="15" hidden="false" customHeight="false" outlineLevel="0" collapsed="false">
      <c r="A953" s="4" t="n">
        <v>20</v>
      </c>
      <c r="B953" s="4" t="n">
        <v>13</v>
      </c>
      <c r="C953" s="4" t="n">
        <v>210</v>
      </c>
      <c r="D953" s="4" t="n">
        <v>191</v>
      </c>
      <c r="E953" s="6" t="n">
        <v>14.3216810096177</v>
      </c>
      <c r="F953" s="6" t="n">
        <f aca="false">D953+E953</f>
        <v>205.321681009618</v>
      </c>
      <c r="G953" s="6" t="n">
        <f aca="false">F953-C953</f>
        <v>-4.67831899038231</v>
      </c>
      <c r="H953" s="4" t="str">
        <f aca="false">IF(G953&gt;2,"LATE",IF(G953&lt;-13,"EARLY","IN"))</f>
        <v>IN</v>
      </c>
      <c r="I953" s="4" t="n">
        <f aca="false">C953-D953</f>
        <v>19</v>
      </c>
    </row>
    <row r="954" customFormat="false" ht="15" hidden="false" customHeight="false" outlineLevel="0" collapsed="false">
      <c r="A954" s="4" t="n">
        <v>20</v>
      </c>
      <c r="B954" s="4" t="n">
        <v>14</v>
      </c>
      <c r="C954" s="4" t="n">
        <v>147</v>
      </c>
      <c r="D954" s="4" t="n">
        <v>133</v>
      </c>
      <c r="E954" s="6" t="n">
        <v>13.4588701486774</v>
      </c>
      <c r="F954" s="6" t="n">
        <f aca="false">D954+E954</f>
        <v>146.458870148677</v>
      </c>
      <c r="G954" s="6" t="n">
        <f aca="false">F954-C954</f>
        <v>-0.54112985132258</v>
      </c>
      <c r="H954" s="4" t="str">
        <f aca="false">IF(G954&gt;2,"LATE",IF(G954&lt;-13,"EARLY","IN"))</f>
        <v>IN</v>
      </c>
      <c r="I954" s="4" t="n">
        <f aca="false">C954-D954</f>
        <v>14</v>
      </c>
    </row>
    <row r="955" customFormat="false" ht="15" hidden="false" customHeight="false" outlineLevel="0" collapsed="false">
      <c r="A955" s="4" t="n">
        <v>20</v>
      </c>
      <c r="B955" s="4" t="n">
        <v>16</v>
      </c>
      <c r="C955" s="4" t="n">
        <v>172</v>
      </c>
      <c r="D955" s="4" t="n">
        <v>156</v>
      </c>
      <c r="E955" s="6" t="n">
        <v>14.5859619646235</v>
      </c>
      <c r="F955" s="6" t="n">
        <f aca="false">D955+E955</f>
        <v>170.585961964623</v>
      </c>
      <c r="G955" s="6" t="n">
        <f aca="false">F955-C955</f>
        <v>-1.41403803537654</v>
      </c>
      <c r="H955" s="4" t="str">
        <f aca="false">IF(G955&gt;2,"LATE",IF(G955&lt;-13,"EARLY","IN"))</f>
        <v>IN</v>
      </c>
      <c r="I955" s="4" t="n">
        <f aca="false">C955-D955</f>
        <v>16</v>
      </c>
    </row>
    <row r="956" customFormat="false" ht="15" hidden="false" customHeight="false" outlineLevel="0" collapsed="false">
      <c r="A956" s="4" t="n">
        <v>20</v>
      </c>
      <c r="B956" s="4" t="n">
        <v>38</v>
      </c>
      <c r="C956" s="4" t="n">
        <v>287</v>
      </c>
      <c r="D956" s="4" t="n">
        <v>261</v>
      </c>
      <c r="E956" s="6" t="n">
        <v>14.4152268041535</v>
      </c>
      <c r="F956" s="6" t="n">
        <f aca="false">D956+E956</f>
        <v>275.415226804154</v>
      </c>
      <c r="G956" s="6" t="n">
        <f aca="false">F956-C956</f>
        <v>-11.5847731958465</v>
      </c>
      <c r="H956" s="4" t="str">
        <f aca="false">IF(G956&gt;2,"LATE",IF(G956&lt;-13,"EARLY","IN"))</f>
        <v>IN</v>
      </c>
      <c r="I956" s="4" t="n">
        <f aca="false">C956-D956</f>
        <v>26</v>
      </c>
    </row>
    <row r="957" customFormat="false" ht="15" hidden="false" customHeight="false" outlineLevel="0" collapsed="false">
      <c r="A957" s="4" t="n">
        <v>20</v>
      </c>
      <c r="B957" s="4" t="n">
        <v>43</v>
      </c>
      <c r="C957" s="4" t="n">
        <v>209</v>
      </c>
      <c r="D957" s="4" t="n">
        <v>192</v>
      </c>
      <c r="E957" s="6" t="n">
        <v>16.6341692898493</v>
      </c>
      <c r="F957" s="6" t="n">
        <f aca="false">D957+E957</f>
        <v>208.634169289849</v>
      </c>
      <c r="G957" s="6" t="n">
        <f aca="false">F957-C957</f>
        <v>-0.365830710150703</v>
      </c>
      <c r="H957" s="4" t="str">
        <f aca="false">IF(G957&gt;2,"LATE",IF(G957&lt;-13,"EARLY","IN"))</f>
        <v>IN</v>
      </c>
      <c r="I957" s="4" t="n">
        <f aca="false">C957-D957</f>
        <v>17</v>
      </c>
    </row>
    <row r="958" customFormat="false" ht="15" hidden="false" customHeight="false" outlineLevel="0" collapsed="false">
      <c r="A958" s="4" t="n">
        <v>20</v>
      </c>
      <c r="B958" s="4" t="n">
        <v>49</v>
      </c>
      <c r="C958" s="4" t="n">
        <v>285</v>
      </c>
      <c r="D958" s="4" t="n">
        <v>255</v>
      </c>
      <c r="E958" s="6" t="n">
        <v>15.9330994088192</v>
      </c>
      <c r="F958" s="6" t="n">
        <f aca="false">D958+E958</f>
        <v>270.933099408819</v>
      </c>
      <c r="G958" s="6" t="n">
        <f aca="false">F958-C958</f>
        <v>-14.0669005911809</v>
      </c>
      <c r="H958" s="4" t="str">
        <f aca="false">IF(G958&gt;2,"LATE",IF(G958&lt;-13,"EARLY","IN"))</f>
        <v>EARLY</v>
      </c>
      <c r="I958" s="4" t="n">
        <f aca="false">C958-D958</f>
        <v>30</v>
      </c>
    </row>
    <row r="959" customFormat="false" ht="15" hidden="false" customHeight="false" outlineLevel="0" collapsed="false">
      <c r="A959" s="4" t="n">
        <v>20</v>
      </c>
      <c r="B959" s="4" t="n">
        <v>50</v>
      </c>
      <c r="C959" s="4" t="n">
        <v>223</v>
      </c>
      <c r="D959" s="4" t="n">
        <v>204</v>
      </c>
      <c r="E959" s="6" t="n">
        <v>14.3417527358393</v>
      </c>
      <c r="F959" s="6" t="n">
        <f aca="false">D959+E959</f>
        <v>218.341752735839</v>
      </c>
      <c r="G959" s="6" t="n">
        <f aca="false">F959-C959</f>
        <v>-4.65824726416068</v>
      </c>
      <c r="H959" s="4" t="str">
        <f aca="false">IF(G959&gt;2,"LATE",IF(G959&lt;-13,"EARLY","IN"))</f>
        <v>IN</v>
      </c>
      <c r="I959" s="4" t="n">
        <f aca="false">C959-D959</f>
        <v>19</v>
      </c>
    </row>
    <row r="960" customFormat="false" ht="15" hidden="false" customHeight="false" outlineLevel="0" collapsed="false">
      <c r="A960" s="4" t="n">
        <v>20</v>
      </c>
      <c r="B960" s="4" t="n">
        <v>64</v>
      </c>
      <c r="C960" s="4" t="n">
        <v>154</v>
      </c>
      <c r="D960" s="4" t="n">
        <v>139</v>
      </c>
      <c r="E960" s="6" t="n">
        <v>15.7884807135012</v>
      </c>
      <c r="F960" s="6" t="n">
        <f aca="false">D960+E960</f>
        <v>154.788480713501</v>
      </c>
      <c r="G960" s="6" t="n">
        <f aca="false">F960-C960</f>
        <v>0.788480713501144</v>
      </c>
      <c r="H960" s="4" t="str">
        <f aca="false">IF(G960&gt;2,"LATE",IF(G960&lt;-13,"EARLY","IN"))</f>
        <v>IN</v>
      </c>
      <c r="I960" s="4" t="n">
        <f aca="false">C960-D960</f>
        <v>15</v>
      </c>
    </row>
    <row r="961" customFormat="false" ht="15" hidden="false" customHeight="false" outlineLevel="0" collapsed="false">
      <c r="A961" s="4" t="n">
        <v>20</v>
      </c>
      <c r="B961" s="4" t="n">
        <v>65</v>
      </c>
      <c r="C961" s="4" t="n">
        <v>209</v>
      </c>
      <c r="D961" s="4" t="n">
        <v>190</v>
      </c>
      <c r="E961" s="6" t="n">
        <v>15.1005391289233</v>
      </c>
      <c r="F961" s="6" t="n">
        <f aca="false">D961+E961</f>
        <v>205.100539128923</v>
      </c>
      <c r="G961" s="6" t="n">
        <f aca="false">F961-C961</f>
        <v>-3.89946087107668</v>
      </c>
      <c r="H961" s="4" t="str">
        <f aca="false">IF(G961&gt;2,"LATE",IF(G961&lt;-13,"EARLY","IN"))</f>
        <v>IN</v>
      </c>
      <c r="I961" s="4" t="n">
        <f aca="false">C961-D961</f>
        <v>19</v>
      </c>
    </row>
    <row r="962" customFormat="false" ht="15" hidden="false" customHeight="false" outlineLevel="0" collapsed="false">
      <c r="A962" s="4" t="n">
        <v>20</v>
      </c>
      <c r="B962" s="4" t="n">
        <v>69</v>
      </c>
      <c r="C962" s="4" t="n">
        <v>170</v>
      </c>
      <c r="D962" s="4" t="n">
        <v>158</v>
      </c>
      <c r="E962" s="6" t="n">
        <v>10.8122812889877</v>
      </c>
      <c r="F962" s="6" t="n">
        <f aca="false">D962+E962</f>
        <v>168.812281288988</v>
      </c>
      <c r="G962" s="6" t="n">
        <f aca="false">F962-C962</f>
        <v>-1.18771871101234</v>
      </c>
      <c r="H962" s="4" t="str">
        <f aca="false">IF(G962&gt;2,"LATE",IF(G962&lt;-13,"EARLY","IN"))</f>
        <v>IN</v>
      </c>
      <c r="I962" s="4" t="n">
        <f aca="false">C962-D962</f>
        <v>12</v>
      </c>
    </row>
    <row r="963" customFormat="false" ht="15" hidden="false" customHeight="false" outlineLevel="0" collapsed="false">
      <c r="A963" s="4" t="n">
        <v>20</v>
      </c>
      <c r="B963" s="4" t="n">
        <v>72</v>
      </c>
      <c r="C963" s="4" t="n">
        <v>235</v>
      </c>
      <c r="D963" s="4" t="n">
        <v>206</v>
      </c>
      <c r="E963" s="6" t="n">
        <v>16.2839175513148</v>
      </c>
      <c r="F963" s="6" t="n">
        <f aca="false">D963+E963</f>
        <v>222.283917551315</v>
      </c>
      <c r="G963" s="6" t="n">
        <f aca="false">F963-C963</f>
        <v>-12.7160824486852</v>
      </c>
      <c r="H963" s="4" t="str">
        <f aca="false">IF(G963&gt;2,"LATE",IF(G963&lt;-13,"EARLY","IN"))</f>
        <v>IN</v>
      </c>
      <c r="I963" s="4" t="n">
        <f aca="false">C963-D963</f>
        <v>29</v>
      </c>
    </row>
    <row r="964" customFormat="false" ht="15" hidden="false" customHeight="false" outlineLevel="0" collapsed="false">
      <c r="A964" s="4" t="n">
        <v>20</v>
      </c>
      <c r="B964" s="4" t="n">
        <v>73</v>
      </c>
      <c r="C964" s="4" t="n">
        <v>249</v>
      </c>
      <c r="D964" s="4" t="n">
        <v>227</v>
      </c>
      <c r="E964" s="6" t="n">
        <v>15.5294240645064</v>
      </c>
      <c r="F964" s="6" t="n">
        <f aca="false">D964+E964</f>
        <v>242.529424064506</v>
      </c>
      <c r="G964" s="6" t="n">
        <f aca="false">F964-C964</f>
        <v>-6.47057593549357</v>
      </c>
      <c r="H964" s="4" t="str">
        <f aca="false">IF(G964&gt;2,"LATE",IF(G964&lt;-13,"EARLY","IN"))</f>
        <v>IN</v>
      </c>
      <c r="I964" s="4" t="n">
        <f aca="false">C964-D964</f>
        <v>22</v>
      </c>
    </row>
    <row r="965" customFormat="false" ht="15" hidden="false" customHeight="false" outlineLevel="0" collapsed="false">
      <c r="A965" s="4" t="n">
        <v>20</v>
      </c>
      <c r="B965" s="4" t="n">
        <v>75</v>
      </c>
      <c r="C965" s="4" t="n">
        <v>186</v>
      </c>
      <c r="D965" s="4" t="n">
        <v>168</v>
      </c>
      <c r="E965" s="6" t="n">
        <v>17.6743506257315</v>
      </c>
      <c r="F965" s="6" t="n">
        <f aca="false">D965+E965</f>
        <v>185.674350625731</v>
      </c>
      <c r="G965" s="6" t="n">
        <f aca="false">F965-C965</f>
        <v>-0.325649374268522</v>
      </c>
      <c r="H965" s="4" t="str">
        <f aca="false">IF(G965&gt;2,"LATE",IF(G965&lt;-13,"EARLY","IN"))</f>
        <v>IN</v>
      </c>
      <c r="I965" s="4" t="n">
        <f aca="false">C965-D965</f>
        <v>18</v>
      </c>
    </row>
    <row r="966" customFormat="false" ht="15" hidden="false" customHeight="false" outlineLevel="0" collapsed="false">
      <c r="A966" s="4" t="n">
        <v>20</v>
      </c>
      <c r="B966" s="4" t="n">
        <v>76</v>
      </c>
      <c r="C966" s="4" t="n">
        <v>128</v>
      </c>
      <c r="D966" s="4" t="n">
        <v>115</v>
      </c>
      <c r="E966" s="6" t="n">
        <v>13.3393734675084</v>
      </c>
      <c r="F966" s="6" t="n">
        <f aca="false">D966+E966</f>
        <v>128.339373467508</v>
      </c>
      <c r="G966" s="6" t="n">
        <f aca="false">F966-C966</f>
        <v>0.339373467508437</v>
      </c>
      <c r="H966" s="4" t="str">
        <f aca="false">IF(G966&gt;2,"LATE",IF(G966&lt;-13,"EARLY","IN"))</f>
        <v>IN</v>
      </c>
      <c r="I966" s="4" t="n">
        <f aca="false">C966-D966</f>
        <v>13</v>
      </c>
    </row>
    <row r="967" customFormat="false" ht="15" hidden="false" customHeight="false" outlineLevel="0" collapsed="false">
      <c r="A967" s="4" t="n">
        <v>20</v>
      </c>
      <c r="B967" s="4" t="n">
        <v>79</v>
      </c>
      <c r="C967" s="4" t="n">
        <v>225</v>
      </c>
      <c r="D967" s="4" t="n">
        <v>200</v>
      </c>
      <c r="E967" s="6" t="n">
        <v>15.7981267305547</v>
      </c>
      <c r="F967" s="6" t="n">
        <f aca="false">D967+E967</f>
        <v>215.798126730555</v>
      </c>
      <c r="G967" s="6" t="n">
        <f aca="false">F967-C967</f>
        <v>-9.20187326944529</v>
      </c>
      <c r="H967" s="4" t="str">
        <f aca="false">IF(G967&gt;2,"LATE",IF(G967&lt;-13,"EARLY","IN"))</f>
        <v>IN</v>
      </c>
      <c r="I967" s="4" t="n">
        <f aca="false">C967-D967</f>
        <v>25</v>
      </c>
    </row>
    <row r="968" customFormat="false" ht="15" hidden="false" customHeight="false" outlineLevel="0" collapsed="false">
      <c r="A968" s="4" t="n">
        <v>20</v>
      </c>
      <c r="B968" s="4" t="n">
        <v>84</v>
      </c>
      <c r="C968" s="4" t="n">
        <v>206</v>
      </c>
      <c r="D968" s="4" t="n">
        <v>186</v>
      </c>
      <c r="E968" s="6" t="n">
        <v>13.6614476848678</v>
      </c>
      <c r="F968" s="6" t="n">
        <f aca="false">D968+E968</f>
        <v>199.661447684868</v>
      </c>
      <c r="G968" s="6" t="n">
        <f aca="false">F968-C968</f>
        <v>-6.33855231513226</v>
      </c>
      <c r="H968" s="4" t="str">
        <f aca="false">IF(G968&gt;2,"LATE",IF(G968&lt;-13,"EARLY","IN"))</f>
        <v>IN</v>
      </c>
      <c r="I968" s="4" t="n">
        <f aca="false">C968-D968</f>
        <v>20</v>
      </c>
    </row>
    <row r="969" customFormat="false" ht="15" hidden="false" customHeight="false" outlineLevel="0" collapsed="false">
      <c r="A969" s="4" t="n">
        <v>20</v>
      </c>
      <c r="B969" s="4" t="n">
        <v>86</v>
      </c>
      <c r="C969" s="4" t="n">
        <v>205</v>
      </c>
      <c r="D969" s="4" t="n">
        <v>186</v>
      </c>
      <c r="E969" s="6" t="n">
        <v>16.2513320241403</v>
      </c>
      <c r="F969" s="6" t="n">
        <f aca="false">D969+E969</f>
        <v>202.25133202414</v>
      </c>
      <c r="G969" s="6" t="n">
        <f aca="false">F969-C969</f>
        <v>-2.74866797585972</v>
      </c>
      <c r="H969" s="4" t="str">
        <f aca="false">IF(G969&gt;2,"LATE",IF(G969&lt;-13,"EARLY","IN"))</f>
        <v>IN</v>
      </c>
      <c r="I969" s="4" t="n">
        <f aca="false">C969-D969</f>
        <v>19</v>
      </c>
    </row>
    <row r="970" customFormat="false" ht="15" hidden="false" customHeight="false" outlineLevel="0" collapsed="false">
      <c r="A970" s="4" t="n">
        <v>20</v>
      </c>
      <c r="B970" s="4" t="n">
        <v>90</v>
      </c>
      <c r="C970" s="4" t="n">
        <v>190</v>
      </c>
      <c r="D970" s="4" t="n">
        <v>171</v>
      </c>
      <c r="E970" s="6" t="n">
        <v>13.692460861728</v>
      </c>
      <c r="F970" s="6" t="n">
        <f aca="false">D970+E970</f>
        <v>184.692460861728</v>
      </c>
      <c r="G970" s="6" t="n">
        <f aca="false">F970-C970</f>
        <v>-5.30753913827201</v>
      </c>
      <c r="H970" s="4" t="str">
        <f aca="false">IF(G970&gt;2,"LATE",IF(G970&lt;-13,"EARLY","IN"))</f>
        <v>IN</v>
      </c>
      <c r="I970" s="4" t="n">
        <f aca="false">C970-D970</f>
        <v>19</v>
      </c>
    </row>
    <row r="971" customFormat="false" ht="15" hidden="false" customHeight="false" outlineLevel="0" collapsed="false">
      <c r="A971" s="4" t="n">
        <v>20</v>
      </c>
      <c r="B971" s="4" t="n">
        <v>95</v>
      </c>
      <c r="C971" s="4" t="n">
        <v>234</v>
      </c>
      <c r="D971" s="4" t="n">
        <v>216</v>
      </c>
      <c r="E971" s="6" t="n">
        <v>9.55123347057121</v>
      </c>
      <c r="F971" s="6" t="n">
        <f aca="false">D971+E971</f>
        <v>225.551233470571</v>
      </c>
      <c r="G971" s="6" t="n">
        <f aca="false">F971-C971</f>
        <v>-8.44876652942878</v>
      </c>
      <c r="H971" s="4" t="str">
        <f aca="false">IF(G971&gt;2,"LATE",IF(G971&lt;-13,"EARLY","IN"))</f>
        <v>IN</v>
      </c>
      <c r="I971" s="4" t="n">
        <f aca="false">C971-D971</f>
        <v>18</v>
      </c>
    </row>
    <row r="972" customFormat="false" ht="15" hidden="false" customHeight="false" outlineLevel="0" collapsed="false">
      <c r="A972" s="4" t="n">
        <v>20</v>
      </c>
      <c r="B972" s="4" t="n">
        <v>99</v>
      </c>
      <c r="C972" s="4" t="n">
        <v>263</v>
      </c>
      <c r="D972" s="4" t="n">
        <v>245</v>
      </c>
      <c r="E972" s="6" t="n">
        <v>14.3887538946208</v>
      </c>
      <c r="F972" s="6" t="n">
        <f aca="false">D972+E972</f>
        <v>259.388753894621</v>
      </c>
      <c r="G972" s="6" t="n">
        <f aca="false">F972-C972</f>
        <v>-3.61124610537922</v>
      </c>
      <c r="H972" s="4" t="str">
        <f aca="false">IF(G972&gt;2,"LATE",IF(G972&lt;-13,"EARLY","IN"))</f>
        <v>IN</v>
      </c>
      <c r="I972" s="4" t="n">
        <f aca="false">C972-D972</f>
        <v>18</v>
      </c>
    </row>
    <row r="973" customFormat="false" ht="15" hidden="false" customHeight="false" outlineLevel="0" collapsed="false">
      <c r="A973" s="4" t="n">
        <v>20</v>
      </c>
      <c r="B973" s="4" t="n">
        <v>100</v>
      </c>
      <c r="C973" s="4" t="n">
        <v>213</v>
      </c>
      <c r="D973" s="4" t="n">
        <v>194</v>
      </c>
      <c r="E973" s="6" t="n">
        <v>15.8786292983809</v>
      </c>
      <c r="F973" s="6" t="n">
        <f aca="false">D973+E973</f>
        <v>209.878629298381</v>
      </c>
      <c r="G973" s="6" t="n">
        <f aca="false">F973-C973</f>
        <v>-3.12137070161907</v>
      </c>
      <c r="H973" s="4" t="str">
        <f aca="false">IF(G973&gt;2,"LATE",IF(G973&lt;-13,"EARLY","IN"))</f>
        <v>IN</v>
      </c>
      <c r="I973" s="4" t="n">
        <f aca="false">C973-D973</f>
        <v>19</v>
      </c>
    </row>
    <row r="974" customFormat="false" ht="15" hidden="false" customHeight="false" outlineLevel="0" collapsed="false">
      <c r="A974" s="4" t="n">
        <v>20</v>
      </c>
      <c r="B974" s="4" t="n">
        <v>120</v>
      </c>
      <c r="C974" s="4" t="n">
        <v>170</v>
      </c>
      <c r="D974" s="4" t="n">
        <v>151</v>
      </c>
      <c r="E974" s="6" t="n">
        <v>14.4757832449295</v>
      </c>
      <c r="F974" s="6" t="n">
        <f aca="false">D974+E974</f>
        <v>165.47578324493</v>
      </c>
      <c r="G974" s="6" t="n">
        <f aca="false">F974-C974</f>
        <v>-4.52421675507051</v>
      </c>
      <c r="H974" s="4" t="str">
        <f aca="false">IF(G974&gt;2,"LATE",IF(G974&lt;-13,"EARLY","IN"))</f>
        <v>IN</v>
      </c>
      <c r="I974" s="4" t="n">
        <f aca="false">C974-D974</f>
        <v>19</v>
      </c>
    </row>
    <row r="975" customFormat="false" ht="15" hidden="false" customHeight="false" outlineLevel="0" collapsed="false">
      <c r="A975" s="4" t="n">
        <v>20</v>
      </c>
      <c r="B975" s="4" t="n">
        <v>121</v>
      </c>
      <c r="C975" s="4" t="n">
        <v>153</v>
      </c>
      <c r="D975" s="4" t="n">
        <v>137</v>
      </c>
      <c r="E975" s="6" t="n">
        <v>13.5105664583222</v>
      </c>
      <c r="F975" s="6" t="n">
        <f aca="false">D975+E975</f>
        <v>150.510566458322</v>
      </c>
      <c r="G975" s="6" t="n">
        <f aca="false">F975-C975</f>
        <v>-2.48943354167784</v>
      </c>
      <c r="H975" s="4" t="str">
        <f aca="false">IF(G975&gt;2,"LATE",IF(G975&lt;-13,"EARLY","IN"))</f>
        <v>IN</v>
      </c>
      <c r="I975" s="4" t="n">
        <f aca="false">C975-D975</f>
        <v>16</v>
      </c>
    </row>
    <row r="976" customFormat="false" ht="15" hidden="false" customHeight="false" outlineLevel="0" collapsed="false">
      <c r="A976" s="4" t="n">
        <v>20</v>
      </c>
      <c r="B976" s="4" t="n">
        <v>122</v>
      </c>
      <c r="C976" s="4" t="n">
        <v>237</v>
      </c>
      <c r="D976" s="4" t="n">
        <v>214</v>
      </c>
      <c r="E976" s="6" t="n">
        <v>13.8982635251009</v>
      </c>
      <c r="F976" s="6" t="n">
        <f aca="false">D976+E976</f>
        <v>227.898263525101</v>
      </c>
      <c r="G976" s="6" t="n">
        <f aca="false">F976-C976</f>
        <v>-9.10173647489916</v>
      </c>
      <c r="H976" s="4" t="str">
        <f aca="false">IF(G976&gt;2,"LATE",IF(G976&lt;-13,"EARLY","IN"))</f>
        <v>IN</v>
      </c>
      <c r="I976" s="4" t="n">
        <f aca="false">C976-D976</f>
        <v>23</v>
      </c>
    </row>
    <row r="977" customFormat="false" ht="15" hidden="false" customHeight="false" outlineLevel="0" collapsed="false">
      <c r="A977" s="4" t="n">
        <v>20</v>
      </c>
      <c r="B977" s="4" t="n">
        <v>125</v>
      </c>
      <c r="C977" s="4" t="n">
        <v>245</v>
      </c>
      <c r="D977" s="4" t="n">
        <v>224</v>
      </c>
      <c r="E977" s="6" t="n">
        <v>18.6935425190771</v>
      </c>
      <c r="F977" s="6" t="n">
        <f aca="false">D977+E977</f>
        <v>242.693542519077</v>
      </c>
      <c r="G977" s="6" t="n">
        <f aca="false">F977-C977</f>
        <v>-2.30645748092286</v>
      </c>
      <c r="H977" s="4" t="str">
        <f aca="false">IF(G977&gt;2,"LATE",IF(G977&lt;-13,"EARLY","IN"))</f>
        <v>IN</v>
      </c>
      <c r="I977" s="4" t="n">
        <f aca="false">C977-D977</f>
        <v>21</v>
      </c>
    </row>
    <row r="978" customFormat="false" ht="15" hidden="false" customHeight="false" outlineLevel="0" collapsed="false">
      <c r="A978" s="4" t="n">
        <v>20</v>
      </c>
      <c r="B978" s="4" t="n">
        <v>131</v>
      </c>
      <c r="C978" s="4" t="n">
        <v>263</v>
      </c>
      <c r="D978" s="4" t="n">
        <v>234</v>
      </c>
      <c r="E978" s="6" t="n">
        <v>14.4709406669258</v>
      </c>
      <c r="F978" s="6" t="n">
        <f aca="false">D978+E978</f>
        <v>248.470940666926</v>
      </c>
      <c r="G978" s="6" t="n">
        <f aca="false">F978-C978</f>
        <v>-14.5290593330742</v>
      </c>
      <c r="H978" s="4" t="str">
        <f aca="false">IF(G978&gt;2,"LATE",IF(G978&lt;-13,"EARLY","IN"))</f>
        <v>EARLY</v>
      </c>
      <c r="I978" s="4" t="n">
        <f aca="false">C978-D978</f>
        <v>29</v>
      </c>
    </row>
    <row r="979" customFormat="false" ht="15" hidden="false" customHeight="false" outlineLevel="0" collapsed="false">
      <c r="A979" s="4" t="n">
        <v>20</v>
      </c>
      <c r="B979" s="4" t="n">
        <v>132</v>
      </c>
      <c r="C979" s="4" t="n">
        <v>199</v>
      </c>
      <c r="D979" s="4" t="n">
        <v>187</v>
      </c>
      <c r="E979" s="6" t="n">
        <v>15.196615423779</v>
      </c>
      <c r="F979" s="6" t="n">
        <f aca="false">D979+E979</f>
        <v>202.196615423779</v>
      </c>
      <c r="G979" s="6" t="n">
        <f aca="false">F979-C979</f>
        <v>3.19661542377898</v>
      </c>
      <c r="H979" s="4" t="str">
        <f aca="false">IF(G979&gt;2,"LATE",IF(G979&lt;-13,"EARLY","IN"))</f>
        <v>LATE</v>
      </c>
      <c r="I979" s="4" t="n">
        <f aca="false">C979-D979</f>
        <v>12</v>
      </c>
    </row>
    <row r="980" customFormat="false" ht="15" hidden="false" customHeight="false" outlineLevel="0" collapsed="false">
      <c r="A980" s="4" t="n">
        <v>20</v>
      </c>
      <c r="B980" s="4" t="n">
        <v>137</v>
      </c>
      <c r="C980" s="4" t="n">
        <v>237</v>
      </c>
      <c r="D980" s="4" t="n">
        <v>222</v>
      </c>
      <c r="E980" s="6" t="n">
        <v>14.4121955925743</v>
      </c>
      <c r="F980" s="6" t="n">
        <f aca="false">D980+E980</f>
        <v>236.412195592574</v>
      </c>
      <c r="G980" s="6" t="n">
        <f aca="false">F980-C980</f>
        <v>-0.587804407425665</v>
      </c>
      <c r="H980" s="4" t="str">
        <f aca="false">IF(G980&gt;2,"LATE",IF(G980&lt;-13,"EARLY","IN"))</f>
        <v>IN</v>
      </c>
      <c r="I980" s="4" t="n">
        <f aca="false">C980-D980</f>
        <v>15</v>
      </c>
    </row>
    <row r="981" customFormat="false" ht="15" hidden="false" customHeight="false" outlineLevel="0" collapsed="false">
      <c r="A981" s="4" t="n">
        <v>20</v>
      </c>
      <c r="B981" s="4" t="n">
        <v>139</v>
      </c>
      <c r="C981" s="4" t="n">
        <v>211</v>
      </c>
      <c r="D981" s="4" t="n">
        <v>196</v>
      </c>
      <c r="E981" s="6" t="n">
        <v>14.0274818382725</v>
      </c>
      <c r="F981" s="6" t="n">
        <f aca="false">D981+E981</f>
        <v>210.027481838273</v>
      </c>
      <c r="G981" s="6" t="n">
        <f aca="false">F981-C981</f>
        <v>-0.972518161727493</v>
      </c>
      <c r="H981" s="4" t="str">
        <f aca="false">IF(G981&gt;2,"LATE",IF(G981&lt;-13,"EARLY","IN"))</f>
        <v>IN</v>
      </c>
      <c r="I981" s="4" t="n">
        <f aca="false">C981-D981</f>
        <v>15</v>
      </c>
    </row>
    <row r="982" customFormat="false" ht="15" hidden="false" customHeight="false" outlineLevel="0" collapsed="false">
      <c r="A982" s="4" t="n">
        <v>20</v>
      </c>
      <c r="B982" s="4" t="n">
        <v>140</v>
      </c>
      <c r="C982" s="4" t="n">
        <v>210</v>
      </c>
      <c r="D982" s="4" t="n">
        <v>193</v>
      </c>
      <c r="E982" s="6" t="n">
        <v>13.0198476754167</v>
      </c>
      <c r="F982" s="6" t="n">
        <f aca="false">D982+E982</f>
        <v>206.019847675417</v>
      </c>
      <c r="G982" s="6" t="n">
        <f aca="false">F982-C982</f>
        <v>-3.98015232458329</v>
      </c>
      <c r="H982" s="4" t="str">
        <f aca="false">IF(G982&gt;2,"LATE",IF(G982&lt;-13,"EARLY","IN"))</f>
        <v>IN</v>
      </c>
      <c r="I982" s="4" t="n">
        <f aca="false">C982-D982</f>
        <v>17</v>
      </c>
    </row>
    <row r="983" customFormat="false" ht="15" hidden="false" customHeight="false" outlineLevel="0" collapsed="false">
      <c r="A983" s="4" t="n">
        <v>20</v>
      </c>
      <c r="B983" s="4" t="n">
        <v>144</v>
      </c>
      <c r="C983" s="4" t="n">
        <v>272</v>
      </c>
      <c r="D983" s="4" t="n">
        <v>254</v>
      </c>
      <c r="E983" s="6" t="n">
        <v>16.5332049469523</v>
      </c>
      <c r="F983" s="6" t="n">
        <f aca="false">D983+E983</f>
        <v>270.533204946952</v>
      </c>
      <c r="G983" s="6" t="n">
        <f aca="false">F983-C983</f>
        <v>-1.46679505304769</v>
      </c>
      <c r="H983" s="4" t="str">
        <f aca="false">IF(G983&gt;2,"LATE",IF(G983&lt;-13,"EARLY","IN"))</f>
        <v>IN</v>
      </c>
      <c r="I983" s="4" t="n">
        <f aca="false">C983-D983</f>
        <v>18</v>
      </c>
    </row>
    <row r="984" customFormat="false" ht="15" hidden="false" customHeight="false" outlineLevel="0" collapsed="false">
      <c r="A984" s="4" t="n">
        <v>20</v>
      </c>
      <c r="B984" s="4" t="n">
        <v>145</v>
      </c>
      <c r="C984" s="4" t="n">
        <v>189</v>
      </c>
      <c r="D984" s="4" t="n">
        <v>167</v>
      </c>
      <c r="E984" s="6" t="n">
        <v>14.4010778952675</v>
      </c>
      <c r="F984" s="6" t="n">
        <f aca="false">D984+E984</f>
        <v>181.401077895268</v>
      </c>
      <c r="G984" s="6" t="n">
        <f aca="false">F984-C984</f>
        <v>-7.59892210473251</v>
      </c>
      <c r="H984" s="4" t="str">
        <f aca="false">IF(G984&gt;2,"LATE",IF(G984&lt;-13,"EARLY","IN"))</f>
        <v>IN</v>
      </c>
      <c r="I984" s="4" t="n">
        <f aca="false">C984-D984</f>
        <v>22</v>
      </c>
    </row>
    <row r="985" customFormat="false" ht="15" hidden="false" customHeight="false" outlineLevel="0" collapsed="false">
      <c r="A985" s="4" t="n">
        <v>20</v>
      </c>
      <c r="B985" s="4" t="n">
        <v>147</v>
      </c>
      <c r="C985" s="4" t="n">
        <v>323</v>
      </c>
      <c r="D985" s="4" t="n">
        <v>288</v>
      </c>
      <c r="E985" s="6" t="n">
        <v>16.1340877577388</v>
      </c>
      <c r="F985" s="6" t="n">
        <f aca="false">D985+E985</f>
        <v>304.134087757739</v>
      </c>
      <c r="G985" s="6" t="n">
        <f aca="false">F985-C985</f>
        <v>-18.8659122422612</v>
      </c>
      <c r="H985" s="4" t="str">
        <f aca="false">IF(G985&gt;2,"LATE",IF(G985&lt;-13,"EARLY","IN"))</f>
        <v>EARLY</v>
      </c>
      <c r="I985" s="4" t="n">
        <f aca="false">C985-D985</f>
        <v>35</v>
      </c>
    </row>
    <row r="986" customFormat="false" ht="15" hidden="false" customHeight="false" outlineLevel="0" collapsed="false">
      <c r="A986" s="4" t="n">
        <v>20</v>
      </c>
      <c r="B986" s="4" t="n">
        <v>148</v>
      </c>
      <c r="C986" s="4" t="n">
        <v>264</v>
      </c>
      <c r="D986" s="4" t="n">
        <v>243</v>
      </c>
      <c r="E986" s="6" t="n">
        <v>15.5139316365778</v>
      </c>
      <c r="F986" s="6" t="n">
        <f aca="false">D986+E986</f>
        <v>258.513931636578</v>
      </c>
      <c r="G986" s="6" t="n">
        <f aca="false">F986-C986</f>
        <v>-5.48606836342225</v>
      </c>
      <c r="H986" s="4" t="str">
        <f aca="false">IF(G986&gt;2,"LATE",IF(G986&lt;-13,"EARLY","IN"))</f>
        <v>IN</v>
      </c>
      <c r="I986" s="4" t="n">
        <f aca="false">C986-D986</f>
        <v>21</v>
      </c>
    </row>
    <row r="987" customFormat="false" ht="15" hidden="false" customHeight="false" outlineLevel="0" collapsed="false">
      <c r="A987" s="4" t="n">
        <v>20</v>
      </c>
      <c r="B987" s="4" t="n">
        <v>157</v>
      </c>
      <c r="C987" s="4" t="n">
        <v>202</v>
      </c>
      <c r="D987" s="4" t="n">
        <v>184</v>
      </c>
      <c r="E987" s="6" t="n">
        <v>14.9636435790931</v>
      </c>
      <c r="F987" s="6" t="n">
        <f aca="false">D987+E987</f>
        <v>198.963643579093</v>
      </c>
      <c r="G987" s="6" t="n">
        <f aca="false">F987-C987</f>
        <v>-3.03635642090694</v>
      </c>
      <c r="H987" s="4" t="str">
        <f aca="false">IF(G987&gt;2,"LATE",IF(G987&lt;-13,"EARLY","IN"))</f>
        <v>IN</v>
      </c>
      <c r="I987" s="4" t="n">
        <f aca="false">C987-D987</f>
        <v>18</v>
      </c>
    </row>
    <row r="988" customFormat="false" ht="15" hidden="false" customHeight="false" outlineLevel="0" collapsed="false">
      <c r="A988" s="4" t="n">
        <v>20</v>
      </c>
      <c r="B988" s="4" t="n">
        <v>158</v>
      </c>
      <c r="C988" s="4" t="n">
        <v>167</v>
      </c>
      <c r="D988" s="4" t="n">
        <v>149</v>
      </c>
      <c r="E988" s="6" t="n">
        <v>14.0346609985625</v>
      </c>
      <c r="F988" s="6" t="n">
        <f aca="false">D988+E988</f>
        <v>163.034660998563</v>
      </c>
      <c r="G988" s="6" t="n">
        <f aca="false">F988-C988</f>
        <v>-3.96533900143751</v>
      </c>
      <c r="H988" s="4" t="str">
        <f aca="false">IF(G988&gt;2,"LATE",IF(G988&lt;-13,"EARLY","IN"))</f>
        <v>IN</v>
      </c>
      <c r="I988" s="4" t="n">
        <f aca="false">C988-D988</f>
        <v>18</v>
      </c>
    </row>
    <row r="989" customFormat="false" ht="15" hidden="false" customHeight="false" outlineLevel="0" collapsed="false">
      <c r="A989" s="4" t="n">
        <v>20</v>
      </c>
      <c r="B989" s="4" t="n">
        <v>159</v>
      </c>
      <c r="C989" s="4" t="n">
        <v>174</v>
      </c>
      <c r="D989" s="4" t="n">
        <v>158</v>
      </c>
      <c r="E989" s="6" t="n">
        <v>19.0634055400904</v>
      </c>
      <c r="F989" s="6" t="n">
        <f aca="false">D989+E989</f>
        <v>177.06340554009</v>
      </c>
      <c r="G989" s="6" t="n">
        <f aca="false">F989-C989</f>
        <v>3.06340554009043</v>
      </c>
      <c r="H989" s="4" t="str">
        <f aca="false">IF(G989&gt;2,"LATE",IF(G989&lt;-13,"EARLY","IN"))</f>
        <v>LATE</v>
      </c>
      <c r="I989" s="4" t="n">
        <f aca="false">C989-D989</f>
        <v>16</v>
      </c>
    </row>
    <row r="990" customFormat="false" ht="15" hidden="false" customHeight="false" outlineLevel="0" collapsed="false">
      <c r="A990" s="4" t="n">
        <v>20</v>
      </c>
      <c r="B990" s="4" t="n">
        <v>167</v>
      </c>
      <c r="C990" s="4" t="n">
        <v>177</v>
      </c>
      <c r="D990" s="4" t="n">
        <v>166</v>
      </c>
      <c r="E990" s="6" t="n">
        <v>11.0559121008062</v>
      </c>
      <c r="F990" s="6" t="n">
        <f aca="false">D990+E990</f>
        <v>177.055912100806</v>
      </c>
      <c r="G990" s="6" t="n">
        <f aca="false">F990-C990</f>
        <v>0.0559121008061823</v>
      </c>
      <c r="H990" s="4" t="str">
        <f aca="false">IF(G990&gt;2,"LATE",IF(G990&lt;-13,"EARLY","IN"))</f>
        <v>IN</v>
      </c>
      <c r="I990" s="4" t="n">
        <f aca="false">C990-D990</f>
        <v>11</v>
      </c>
    </row>
    <row r="991" customFormat="false" ht="15" hidden="false" customHeight="false" outlineLevel="0" collapsed="false">
      <c r="A991" s="4" t="n">
        <v>20</v>
      </c>
      <c r="B991" s="4" t="n">
        <v>174</v>
      </c>
      <c r="C991" s="4" t="n">
        <v>178</v>
      </c>
      <c r="D991" s="4" t="n">
        <v>158</v>
      </c>
      <c r="E991" s="6" t="n">
        <v>17.3998836669098</v>
      </c>
      <c r="F991" s="6" t="n">
        <f aca="false">D991+E991</f>
        <v>175.39988366691</v>
      </c>
      <c r="G991" s="6" t="n">
        <f aca="false">F991-C991</f>
        <v>-2.60011633309026</v>
      </c>
      <c r="H991" s="4" t="str">
        <f aca="false">IF(G991&gt;2,"LATE",IF(G991&lt;-13,"EARLY","IN"))</f>
        <v>IN</v>
      </c>
      <c r="I991" s="4" t="n">
        <f aca="false">C991-D991</f>
        <v>20</v>
      </c>
    </row>
    <row r="992" customFormat="false" ht="15" hidden="false" customHeight="false" outlineLevel="0" collapsed="false">
      <c r="A992" s="4" t="n">
        <v>20</v>
      </c>
      <c r="B992" s="4" t="n">
        <v>178</v>
      </c>
      <c r="C992" s="4" t="n">
        <v>255</v>
      </c>
      <c r="D992" s="4" t="n">
        <v>239</v>
      </c>
      <c r="E992" s="6" t="n">
        <v>9.33498643584009</v>
      </c>
      <c r="F992" s="6" t="n">
        <f aca="false">D992+E992</f>
        <v>248.33498643584</v>
      </c>
      <c r="G992" s="6" t="n">
        <f aca="false">F992-C992</f>
        <v>-6.66501356415992</v>
      </c>
      <c r="H992" s="4" t="str">
        <f aca="false">IF(G992&gt;2,"LATE",IF(G992&lt;-13,"EARLY","IN"))</f>
        <v>IN</v>
      </c>
      <c r="I992" s="4" t="n">
        <f aca="false">C992-D992</f>
        <v>16</v>
      </c>
    </row>
    <row r="993" customFormat="false" ht="15" hidden="false" customHeight="false" outlineLevel="0" collapsed="false">
      <c r="A993" s="4" t="n">
        <v>20</v>
      </c>
      <c r="B993" s="4" t="n">
        <v>185</v>
      </c>
      <c r="C993" s="4" t="n">
        <v>198</v>
      </c>
      <c r="D993" s="4" t="n">
        <v>181</v>
      </c>
      <c r="E993" s="6" t="n">
        <v>18.2883841565186</v>
      </c>
      <c r="F993" s="6" t="n">
        <f aca="false">D993+E993</f>
        <v>199.288384156519</v>
      </c>
      <c r="G993" s="6" t="n">
        <f aca="false">F993-C993</f>
        <v>1.28838415651862</v>
      </c>
      <c r="H993" s="4" t="str">
        <f aca="false">IF(G993&gt;2,"LATE",IF(G993&lt;-13,"EARLY","IN"))</f>
        <v>IN</v>
      </c>
      <c r="I993" s="4" t="n">
        <f aca="false">C993-D993</f>
        <v>17</v>
      </c>
    </row>
    <row r="994" customFormat="false" ht="15" hidden="false" customHeight="false" outlineLevel="0" collapsed="false">
      <c r="A994" s="4" t="n">
        <v>20</v>
      </c>
      <c r="B994" s="4" t="n">
        <v>186</v>
      </c>
      <c r="C994" s="4" t="n">
        <v>236</v>
      </c>
      <c r="D994" s="4" t="n">
        <v>207</v>
      </c>
      <c r="E994" s="6" t="n">
        <v>18.8138305282578</v>
      </c>
      <c r="F994" s="6" t="n">
        <f aca="false">D994+E994</f>
        <v>225.813830528258</v>
      </c>
      <c r="G994" s="6" t="n">
        <f aca="false">F994-C994</f>
        <v>-10.1861694717422</v>
      </c>
      <c r="H994" s="4" t="str">
        <f aca="false">IF(G994&gt;2,"LATE",IF(G994&lt;-13,"EARLY","IN"))</f>
        <v>IN</v>
      </c>
      <c r="I994" s="4" t="n">
        <f aca="false">C994-D994</f>
        <v>29</v>
      </c>
    </row>
    <row r="995" customFormat="false" ht="15" hidden="false" customHeight="false" outlineLevel="0" collapsed="false">
      <c r="A995" s="4" t="n">
        <v>20</v>
      </c>
      <c r="B995" s="4" t="n">
        <v>189</v>
      </c>
      <c r="C995" s="4" t="n">
        <v>242</v>
      </c>
      <c r="D995" s="4" t="n">
        <v>230</v>
      </c>
      <c r="E995" s="6" t="n">
        <v>9.82578907778377</v>
      </c>
      <c r="F995" s="6" t="n">
        <f aca="false">D995+E995</f>
        <v>239.825789077784</v>
      </c>
      <c r="G995" s="6" t="n">
        <f aca="false">F995-C995</f>
        <v>-2.17421092221622</v>
      </c>
      <c r="H995" s="4" t="str">
        <f aca="false">IF(G995&gt;2,"LATE",IF(G995&lt;-13,"EARLY","IN"))</f>
        <v>IN</v>
      </c>
      <c r="I995" s="4" t="n">
        <f aca="false">C995-D995</f>
        <v>12</v>
      </c>
    </row>
    <row r="996" customFormat="false" ht="15" hidden="false" customHeight="false" outlineLevel="0" collapsed="false">
      <c r="A996" s="4" t="n">
        <v>20</v>
      </c>
      <c r="B996" s="4" t="n">
        <v>196</v>
      </c>
      <c r="C996" s="4" t="n">
        <v>226</v>
      </c>
      <c r="D996" s="4" t="n">
        <v>208</v>
      </c>
      <c r="E996" s="6" t="n">
        <v>12.856090753162</v>
      </c>
      <c r="F996" s="6" t="n">
        <f aca="false">D996+E996</f>
        <v>220.856090753162</v>
      </c>
      <c r="G996" s="6" t="n">
        <f aca="false">F996-C996</f>
        <v>-5.14390924683798</v>
      </c>
      <c r="H996" s="4" t="str">
        <f aca="false">IF(G996&gt;2,"LATE",IF(G996&lt;-13,"EARLY","IN"))</f>
        <v>IN</v>
      </c>
      <c r="I996" s="4" t="n">
        <f aca="false">C996-D996</f>
        <v>18</v>
      </c>
    </row>
    <row r="997" customFormat="false" ht="15" hidden="false" customHeight="false" outlineLevel="0" collapsed="false">
      <c r="A997" s="4" t="n">
        <v>20</v>
      </c>
      <c r="B997" s="4" t="n">
        <v>199</v>
      </c>
      <c r="C997" s="4" t="n">
        <v>192</v>
      </c>
      <c r="D997" s="4" t="n">
        <v>175</v>
      </c>
      <c r="E997" s="6" t="n">
        <v>13.302580696613</v>
      </c>
      <c r="F997" s="6" t="n">
        <f aca="false">D997+E997</f>
        <v>188.302580696613</v>
      </c>
      <c r="G997" s="6" t="n">
        <f aca="false">F997-C997</f>
        <v>-3.69741930338705</v>
      </c>
      <c r="H997" s="4" t="str">
        <f aca="false">IF(G997&gt;2,"LATE",IF(G997&lt;-13,"EARLY","IN"))</f>
        <v>IN</v>
      </c>
      <c r="I997" s="4" t="n">
        <f aca="false">C997-D997</f>
        <v>17</v>
      </c>
    </row>
    <row r="998" customFormat="false" ht="15" hidden="false" customHeight="false" outlineLevel="0" collapsed="false">
      <c r="A998" s="4" t="n">
        <v>20</v>
      </c>
      <c r="B998" s="4" t="n">
        <v>208</v>
      </c>
      <c r="C998" s="4" t="n">
        <v>199</v>
      </c>
      <c r="D998" s="4" t="n">
        <v>180</v>
      </c>
      <c r="E998" s="6" t="n">
        <v>12.7720216725745</v>
      </c>
      <c r="F998" s="6" t="n">
        <f aca="false">D998+E998</f>
        <v>192.772021672574</v>
      </c>
      <c r="G998" s="6" t="n">
        <f aca="false">F998-C998</f>
        <v>-6.22797832742552</v>
      </c>
      <c r="H998" s="4" t="str">
        <f aca="false">IF(G998&gt;2,"LATE",IF(G998&lt;-13,"EARLY","IN"))</f>
        <v>IN</v>
      </c>
      <c r="I998" s="4" t="n">
        <f aca="false">C998-D998</f>
        <v>19</v>
      </c>
    </row>
    <row r="999" customFormat="false" ht="15" hidden="false" customHeight="false" outlineLevel="0" collapsed="false">
      <c r="A999" s="4" t="n">
        <v>20</v>
      </c>
      <c r="B999" s="4" t="n">
        <v>211</v>
      </c>
      <c r="C999" s="4" t="n">
        <v>211</v>
      </c>
      <c r="D999" s="4" t="n">
        <v>199</v>
      </c>
      <c r="E999" s="6" t="n">
        <v>14.8065855782946</v>
      </c>
      <c r="F999" s="6" t="n">
        <f aca="false">D999+E999</f>
        <v>213.806585578295</v>
      </c>
      <c r="G999" s="6" t="n">
        <f aca="false">F999-C999</f>
        <v>2.80658557829457</v>
      </c>
      <c r="H999" s="4" t="str">
        <f aca="false">IF(G999&gt;2,"LATE",IF(G999&lt;-13,"EARLY","IN"))</f>
        <v>LATE</v>
      </c>
      <c r="I999" s="4" t="n">
        <f aca="false">C999-D999</f>
        <v>12</v>
      </c>
    </row>
    <row r="1000" customFormat="false" ht="15" hidden="false" customHeight="false" outlineLevel="0" collapsed="false">
      <c r="A1000" s="4" t="n">
        <v>20</v>
      </c>
      <c r="B1000" s="4" t="n">
        <v>216</v>
      </c>
      <c r="C1000" s="4" t="n">
        <v>190</v>
      </c>
      <c r="D1000" s="4" t="n">
        <v>177</v>
      </c>
      <c r="E1000" s="6" t="n">
        <v>9.58761412702173</v>
      </c>
      <c r="F1000" s="6" t="n">
        <f aca="false">D1000+E1000</f>
        <v>186.587614127022</v>
      </c>
      <c r="G1000" s="6" t="n">
        <f aca="false">F1000-C1000</f>
        <v>-3.41238587297826</v>
      </c>
      <c r="H1000" s="4" t="str">
        <f aca="false">IF(G1000&gt;2,"LATE",IF(G1000&lt;-13,"EARLY","IN"))</f>
        <v>IN</v>
      </c>
      <c r="I1000" s="4" t="n">
        <f aca="false">C1000-D1000</f>
        <v>13</v>
      </c>
    </row>
    <row r="1001" customFormat="false" ht="15" hidden="false" customHeight="false" outlineLevel="0" collapsed="false">
      <c r="A1001" s="4" t="n">
        <v>20</v>
      </c>
      <c r="B1001" s="4" t="n">
        <v>217</v>
      </c>
      <c r="C1001" s="4" t="n">
        <v>287</v>
      </c>
      <c r="D1001" s="4" t="n">
        <v>258</v>
      </c>
      <c r="E1001" s="6" t="n">
        <v>17.7643424072354</v>
      </c>
      <c r="F1001" s="6" t="n">
        <f aca="false">D1001+E1001</f>
        <v>275.764342407235</v>
      </c>
      <c r="G1001" s="6" t="n">
        <f aca="false">F1001-C1001</f>
        <v>-11.2356575927646</v>
      </c>
      <c r="H1001" s="4" t="str">
        <f aca="false">IF(G1001&gt;2,"LATE",IF(G1001&lt;-13,"EARLY","IN"))</f>
        <v>IN</v>
      </c>
      <c r="I1001" s="4" t="n">
        <f aca="false">C1001-D1001</f>
        <v>29</v>
      </c>
    </row>
    <row r="1002" customFormat="false" ht="15" hidden="false" customHeight="false" outlineLevel="0" collapsed="false">
      <c r="A1002" s="4" t="n">
        <v>21</v>
      </c>
      <c r="B1002" s="4" t="n">
        <v>9</v>
      </c>
      <c r="C1002" s="4" t="n">
        <v>181</v>
      </c>
      <c r="D1002" s="4" t="n">
        <v>154</v>
      </c>
      <c r="E1002" s="6" t="n">
        <v>17.3459018117297</v>
      </c>
      <c r="F1002" s="6" t="n">
        <f aca="false">D1002+E1002</f>
        <v>171.34590181173</v>
      </c>
      <c r="G1002" s="6" t="n">
        <f aca="false">F1002-C1002</f>
        <v>-9.6540981882703</v>
      </c>
      <c r="H1002" s="4" t="str">
        <f aca="false">IF(G1002&gt;2,"LATE",IF(G1002&lt;-13,"EARLY","IN"))</f>
        <v>IN</v>
      </c>
      <c r="I1002" s="4" t="n">
        <f aca="false">C1002-D1002</f>
        <v>27</v>
      </c>
    </row>
    <row r="1003" customFormat="false" ht="15" hidden="false" customHeight="false" outlineLevel="0" collapsed="false">
      <c r="A1003" s="4" t="n">
        <v>21</v>
      </c>
      <c r="B1003" s="4" t="n">
        <v>12</v>
      </c>
      <c r="C1003" s="4" t="n">
        <v>242</v>
      </c>
      <c r="D1003" s="4" t="n">
        <v>224</v>
      </c>
      <c r="E1003" s="6" t="n">
        <v>15.0263923221804</v>
      </c>
      <c r="F1003" s="6" t="n">
        <f aca="false">D1003+E1003</f>
        <v>239.02639232218</v>
      </c>
      <c r="G1003" s="6" t="n">
        <f aca="false">F1003-C1003</f>
        <v>-2.97360767781959</v>
      </c>
      <c r="H1003" s="4" t="str">
        <f aca="false">IF(G1003&gt;2,"LATE",IF(G1003&lt;-13,"EARLY","IN"))</f>
        <v>IN</v>
      </c>
      <c r="I1003" s="4" t="n">
        <f aca="false">C1003-D1003</f>
        <v>18</v>
      </c>
    </row>
    <row r="1004" customFormat="false" ht="15" hidden="false" customHeight="false" outlineLevel="0" collapsed="false">
      <c r="A1004" s="4" t="n">
        <v>21</v>
      </c>
      <c r="B1004" s="4" t="n">
        <v>14</v>
      </c>
      <c r="C1004" s="4" t="n">
        <v>147</v>
      </c>
      <c r="D1004" s="4" t="n">
        <v>129</v>
      </c>
      <c r="E1004" s="6" t="n">
        <v>15.9352282192314</v>
      </c>
      <c r="F1004" s="6" t="n">
        <f aca="false">D1004+E1004</f>
        <v>144.935228219231</v>
      </c>
      <c r="G1004" s="6" t="n">
        <f aca="false">F1004-C1004</f>
        <v>-2.06477178076858</v>
      </c>
      <c r="H1004" s="4" t="str">
        <f aca="false">IF(G1004&gt;2,"LATE",IF(G1004&lt;-13,"EARLY","IN"))</f>
        <v>IN</v>
      </c>
      <c r="I1004" s="4" t="n">
        <f aca="false">C1004-D1004</f>
        <v>18</v>
      </c>
    </row>
    <row r="1005" customFormat="false" ht="15" hidden="false" customHeight="false" outlineLevel="0" collapsed="false">
      <c r="A1005" s="4" t="n">
        <v>21</v>
      </c>
      <c r="B1005" s="4" t="n">
        <v>15</v>
      </c>
      <c r="C1005" s="4" t="n">
        <v>178</v>
      </c>
      <c r="D1005" s="4" t="n">
        <v>162</v>
      </c>
      <c r="E1005" s="6" t="n">
        <v>13.7741918431364</v>
      </c>
      <c r="F1005" s="6" t="n">
        <f aca="false">D1005+E1005</f>
        <v>175.774191843136</v>
      </c>
      <c r="G1005" s="6" t="n">
        <f aca="false">F1005-C1005</f>
        <v>-2.22580815686356</v>
      </c>
      <c r="H1005" s="4" t="str">
        <f aca="false">IF(G1005&gt;2,"LATE",IF(G1005&lt;-13,"EARLY","IN"))</f>
        <v>IN</v>
      </c>
      <c r="I1005" s="4" t="n">
        <f aca="false">C1005-D1005</f>
        <v>16</v>
      </c>
    </row>
    <row r="1006" customFormat="false" ht="15" hidden="false" customHeight="false" outlineLevel="0" collapsed="false">
      <c r="A1006" s="4" t="n">
        <v>21</v>
      </c>
      <c r="B1006" s="4" t="n">
        <v>19</v>
      </c>
      <c r="C1006" s="4" t="n">
        <v>167</v>
      </c>
      <c r="D1006" s="4" t="n">
        <v>146</v>
      </c>
      <c r="E1006" s="6" t="n">
        <v>14.2230839091439</v>
      </c>
      <c r="F1006" s="6" t="n">
        <f aca="false">D1006+E1006</f>
        <v>160.223083909144</v>
      </c>
      <c r="G1006" s="6" t="n">
        <f aca="false">F1006-C1006</f>
        <v>-6.77691609085611</v>
      </c>
      <c r="H1006" s="4" t="str">
        <f aca="false">IF(G1006&gt;2,"LATE",IF(G1006&lt;-13,"EARLY","IN"))</f>
        <v>IN</v>
      </c>
      <c r="I1006" s="4" t="n">
        <f aca="false">C1006-D1006</f>
        <v>21</v>
      </c>
    </row>
    <row r="1007" customFormat="false" ht="15" hidden="false" customHeight="false" outlineLevel="0" collapsed="false">
      <c r="A1007" s="4" t="n">
        <v>21</v>
      </c>
      <c r="B1007" s="4" t="n">
        <v>20</v>
      </c>
      <c r="C1007" s="4" t="n">
        <v>154</v>
      </c>
      <c r="D1007" s="4" t="n">
        <v>138</v>
      </c>
      <c r="E1007" s="6" t="n">
        <v>16.3572730820924</v>
      </c>
      <c r="F1007" s="6" t="n">
        <f aca="false">D1007+E1007</f>
        <v>154.357273082092</v>
      </c>
      <c r="G1007" s="6" t="n">
        <f aca="false">F1007-C1007</f>
        <v>0.357273082092405</v>
      </c>
      <c r="H1007" s="4" t="str">
        <f aca="false">IF(G1007&gt;2,"LATE",IF(G1007&lt;-13,"EARLY","IN"))</f>
        <v>IN</v>
      </c>
      <c r="I1007" s="4" t="n">
        <f aca="false">C1007-D1007</f>
        <v>16</v>
      </c>
    </row>
    <row r="1008" customFormat="false" ht="15" hidden="false" customHeight="false" outlineLevel="0" collapsed="false">
      <c r="A1008" s="4" t="n">
        <v>21</v>
      </c>
      <c r="B1008" s="4" t="n">
        <v>21</v>
      </c>
      <c r="C1008" s="4" t="n">
        <v>205</v>
      </c>
      <c r="D1008" s="4" t="n">
        <v>181</v>
      </c>
      <c r="E1008" s="6" t="n">
        <v>17.0898097372518</v>
      </c>
      <c r="F1008" s="6" t="n">
        <f aca="false">D1008+E1008</f>
        <v>198.089809737252</v>
      </c>
      <c r="G1008" s="6" t="n">
        <f aca="false">F1008-C1008</f>
        <v>-6.91019026274819</v>
      </c>
      <c r="H1008" s="4" t="str">
        <f aca="false">IF(G1008&gt;2,"LATE",IF(G1008&lt;-13,"EARLY","IN"))</f>
        <v>IN</v>
      </c>
      <c r="I1008" s="4" t="n">
        <f aca="false">C1008-D1008</f>
        <v>24</v>
      </c>
    </row>
    <row r="1009" customFormat="false" ht="15" hidden="false" customHeight="false" outlineLevel="0" collapsed="false">
      <c r="A1009" s="4" t="n">
        <v>21</v>
      </c>
      <c r="B1009" s="4" t="n">
        <v>23</v>
      </c>
      <c r="C1009" s="4" t="n">
        <v>213</v>
      </c>
      <c r="D1009" s="4" t="n">
        <v>198</v>
      </c>
      <c r="E1009" s="6" t="n">
        <v>16.7220512280506</v>
      </c>
      <c r="F1009" s="6" t="n">
        <f aca="false">D1009+E1009</f>
        <v>214.722051228051</v>
      </c>
      <c r="G1009" s="6" t="n">
        <f aca="false">F1009-C1009</f>
        <v>1.72205122805059</v>
      </c>
      <c r="H1009" s="4" t="str">
        <f aca="false">IF(G1009&gt;2,"LATE",IF(G1009&lt;-13,"EARLY","IN"))</f>
        <v>IN</v>
      </c>
      <c r="I1009" s="4" t="n">
        <f aca="false">C1009-D1009</f>
        <v>15</v>
      </c>
    </row>
    <row r="1010" customFormat="false" ht="15" hidden="false" customHeight="false" outlineLevel="0" collapsed="false">
      <c r="A1010" s="4" t="n">
        <v>21</v>
      </c>
      <c r="B1010" s="4" t="n">
        <v>24</v>
      </c>
      <c r="C1010" s="4" t="n">
        <v>191</v>
      </c>
      <c r="D1010" s="4" t="n">
        <v>174</v>
      </c>
      <c r="E1010" s="6" t="n">
        <v>16.446759733059</v>
      </c>
      <c r="F1010" s="6" t="n">
        <f aca="false">D1010+E1010</f>
        <v>190.446759733059</v>
      </c>
      <c r="G1010" s="6" t="n">
        <f aca="false">F1010-C1010</f>
        <v>-0.553240266940975</v>
      </c>
      <c r="H1010" s="4" t="str">
        <f aca="false">IF(G1010&gt;2,"LATE",IF(G1010&lt;-13,"EARLY","IN"))</f>
        <v>IN</v>
      </c>
      <c r="I1010" s="4" t="n">
        <f aca="false">C1010-D1010</f>
        <v>17</v>
      </c>
    </row>
    <row r="1011" customFormat="false" ht="15" hidden="false" customHeight="false" outlineLevel="0" collapsed="false">
      <c r="A1011" s="4" t="n">
        <v>21</v>
      </c>
      <c r="B1011" s="4" t="n">
        <v>25</v>
      </c>
      <c r="C1011" s="4" t="n">
        <v>281</v>
      </c>
      <c r="D1011" s="4" t="n">
        <v>251</v>
      </c>
      <c r="E1011" s="6" t="n">
        <v>19.5490485919227</v>
      </c>
      <c r="F1011" s="6" t="n">
        <f aca="false">D1011+E1011</f>
        <v>270.549048591923</v>
      </c>
      <c r="G1011" s="6" t="n">
        <f aca="false">F1011-C1011</f>
        <v>-10.4509514080773</v>
      </c>
      <c r="H1011" s="4" t="str">
        <f aca="false">IF(G1011&gt;2,"LATE",IF(G1011&lt;-13,"EARLY","IN"))</f>
        <v>IN</v>
      </c>
      <c r="I1011" s="4" t="n">
        <f aca="false">C1011-D1011</f>
        <v>30</v>
      </c>
    </row>
    <row r="1012" customFormat="false" ht="15" hidden="false" customHeight="false" outlineLevel="0" collapsed="false">
      <c r="A1012" s="4" t="n">
        <v>21</v>
      </c>
      <c r="B1012" s="4" t="n">
        <v>27</v>
      </c>
      <c r="C1012" s="4" t="n">
        <v>178</v>
      </c>
      <c r="D1012" s="4" t="n">
        <v>160</v>
      </c>
      <c r="E1012" s="6" t="n">
        <v>16.9831016592664</v>
      </c>
      <c r="F1012" s="6" t="n">
        <f aca="false">D1012+E1012</f>
        <v>176.983101659266</v>
      </c>
      <c r="G1012" s="6" t="n">
        <f aca="false">F1012-C1012</f>
        <v>-1.0168983407336</v>
      </c>
      <c r="H1012" s="4" t="str">
        <f aca="false">IF(G1012&gt;2,"LATE",IF(G1012&lt;-13,"EARLY","IN"))</f>
        <v>IN</v>
      </c>
      <c r="I1012" s="4" t="n">
        <f aca="false">C1012-D1012</f>
        <v>18</v>
      </c>
    </row>
    <row r="1013" customFormat="false" ht="15" hidden="false" customHeight="false" outlineLevel="0" collapsed="false">
      <c r="A1013" s="4" t="n">
        <v>21</v>
      </c>
      <c r="B1013" s="4" t="n">
        <v>30</v>
      </c>
      <c r="C1013" s="4" t="n">
        <v>200</v>
      </c>
      <c r="D1013" s="4" t="n">
        <v>176</v>
      </c>
      <c r="E1013" s="6" t="n">
        <v>17.0367166148852</v>
      </c>
      <c r="F1013" s="6" t="n">
        <f aca="false">D1013+E1013</f>
        <v>193.036716614885</v>
      </c>
      <c r="G1013" s="6" t="n">
        <f aca="false">F1013-C1013</f>
        <v>-6.96328338511484</v>
      </c>
      <c r="H1013" s="4" t="str">
        <f aca="false">IF(G1013&gt;2,"LATE",IF(G1013&lt;-13,"EARLY","IN"))</f>
        <v>IN</v>
      </c>
      <c r="I1013" s="4" t="n">
        <f aca="false">C1013-D1013</f>
        <v>24</v>
      </c>
    </row>
    <row r="1014" customFormat="false" ht="15" hidden="false" customHeight="false" outlineLevel="0" collapsed="false">
      <c r="A1014" s="4" t="n">
        <v>21</v>
      </c>
      <c r="B1014" s="4" t="n">
        <v>32</v>
      </c>
      <c r="C1014" s="4" t="n">
        <v>193</v>
      </c>
      <c r="D1014" s="4" t="n">
        <v>179</v>
      </c>
      <c r="E1014" s="6" t="n">
        <v>14.2758608662481</v>
      </c>
      <c r="F1014" s="6" t="n">
        <f aca="false">D1014+E1014</f>
        <v>193.275860866248</v>
      </c>
      <c r="G1014" s="6" t="n">
        <f aca="false">F1014-C1014</f>
        <v>0.275860866248053</v>
      </c>
      <c r="H1014" s="4" t="str">
        <f aca="false">IF(G1014&gt;2,"LATE",IF(G1014&lt;-13,"EARLY","IN"))</f>
        <v>IN</v>
      </c>
      <c r="I1014" s="4" t="n">
        <f aca="false">C1014-D1014</f>
        <v>14</v>
      </c>
    </row>
    <row r="1015" customFormat="false" ht="15" hidden="false" customHeight="false" outlineLevel="0" collapsed="false">
      <c r="A1015" s="4" t="n">
        <v>21</v>
      </c>
      <c r="B1015" s="4" t="n">
        <v>38</v>
      </c>
      <c r="C1015" s="4" t="n">
        <v>287</v>
      </c>
      <c r="D1015" s="4" t="n">
        <v>263</v>
      </c>
      <c r="E1015" s="6" t="n">
        <v>16.5421726298378</v>
      </c>
      <c r="F1015" s="6" t="n">
        <f aca="false">D1015+E1015</f>
        <v>279.542172629838</v>
      </c>
      <c r="G1015" s="6" t="n">
        <f aca="false">F1015-C1015</f>
        <v>-7.45782737016214</v>
      </c>
      <c r="H1015" s="4" t="str">
        <f aca="false">IF(G1015&gt;2,"LATE",IF(G1015&lt;-13,"EARLY","IN"))</f>
        <v>IN</v>
      </c>
      <c r="I1015" s="4" t="n">
        <f aca="false">C1015-D1015</f>
        <v>24</v>
      </c>
    </row>
    <row r="1016" customFormat="false" ht="15" hidden="false" customHeight="false" outlineLevel="0" collapsed="false">
      <c r="A1016" s="4" t="n">
        <v>21</v>
      </c>
      <c r="B1016" s="4" t="n">
        <v>49</v>
      </c>
      <c r="C1016" s="4" t="n">
        <v>285</v>
      </c>
      <c r="D1016" s="4" t="n">
        <v>256</v>
      </c>
      <c r="E1016" s="6" t="n">
        <v>19.7873041510192</v>
      </c>
      <c r="F1016" s="6" t="n">
        <f aca="false">D1016+E1016</f>
        <v>275.787304151019</v>
      </c>
      <c r="G1016" s="6" t="n">
        <f aca="false">F1016-C1016</f>
        <v>-9.21269584898084</v>
      </c>
      <c r="H1016" s="4" t="str">
        <f aca="false">IF(G1016&gt;2,"LATE",IF(G1016&lt;-13,"EARLY","IN"))</f>
        <v>IN</v>
      </c>
      <c r="I1016" s="4" t="n">
        <f aca="false">C1016-D1016</f>
        <v>29</v>
      </c>
    </row>
    <row r="1017" customFormat="false" ht="15" hidden="false" customHeight="false" outlineLevel="0" collapsed="false">
      <c r="A1017" s="4" t="n">
        <v>21</v>
      </c>
      <c r="B1017" s="4" t="n">
        <v>53</v>
      </c>
      <c r="C1017" s="4" t="n">
        <v>259</v>
      </c>
      <c r="D1017" s="4" t="n">
        <v>242</v>
      </c>
      <c r="E1017" s="6" t="n">
        <v>13.4833256888651</v>
      </c>
      <c r="F1017" s="6" t="n">
        <f aca="false">D1017+E1017</f>
        <v>255.483325688865</v>
      </c>
      <c r="G1017" s="6" t="n">
        <f aca="false">F1017-C1017</f>
        <v>-3.51667431113489</v>
      </c>
      <c r="H1017" s="4" t="str">
        <f aca="false">IF(G1017&gt;2,"LATE",IF(G1017&lt;-13,"EARLY","IN"))</f>
        <v>IN</v>
      </c>
      <c r="I1017" s="4" t="n">
        <f aca="false">C1017-D1017</f>
        <v>17</v>
      </c>
    </row>
    <row r="1018" customFormat="false" ht="15" hidden="false" customHeight="false" outlineLevel="0" collapsed="false">
      <c r="A1018" s="4" t="n">
        <v>21</v>
      </c>
      <c r="B1018" s="4" t="n">
        <v>57</v>
      </c>
      <c r="C1018" s="4" t="n">
        <v>150</v>
      </c>
      <c r="D1018" s="4" t="n">
        <v>128</v>
      </c>
      <c r="E1018" s="6" t="n">
        <v>14.1006230588744</v>
      </c>
      <c r="F1018" s="6" t="n">
        <f aca="false">D1018+E1018</f>
        <v>142.100623058874</v>
      </c>
      <c r="G1018" s="6" t="n">
        <f aca="false">F1018-C1018</f>
        <v>-7.89937694112558</v>
      </c>
      <c r="H1018" s="4" t="str">
        <f aca="false">IF(G1018&gt;2,"LATE",IF(G1018&lt;-13,"EARLY","IN"))</f>
        <v>IN</v>
      </c>
      <c r="I1018" s="4" t="n">
        <f aca="false">C1018-D1018</f>
        <v>22</v>
      </c>
    </row>
    <row r="1019" customFormat="false" ht="15" hidden="false" customHeight="false" outlineLevel="0" collapsed="false">
      <c r="A1019" s="4" t="n">
        <v>21</v>
      </c>
      <c r="B1019" s="4" t="n">
        <v>64</v>
      </c>
      <c r="C1019" s="4" t="n">
        <v>154</v>
      </c>
      <c r="D1019" s="4" t="n">
        <v>138</v>
      </c>
      <c r="E1019" s="6" t="n">
        <v>17.8290366011517</v>
      </c>
      <c r="F1019" s="6" t="n">
        <f aca="false">D1019+E1019</f>
        <v>155.829036601152</v>
      </c>
      <c r="G1019" s="6" t="n">
        <f aca="false">F1019-C1019</f>
        <v>1.82903660115164</v>
      </c>
      <c r="H1019" s="4" t="str">
        <f aca="false">IF(G1019&gt;2,"LATE",IF(G1019&lt;-13,"EARLY","IN"))</f>
        <v>IN</v>
      </c>
      <c r="I1019" s="4" t="n">
        <f aca="false">C1019-D1019</f>
        <v>16</v>
      </c>
    </row>
    <row r="1020" customFormat="false" ht="15" hidden="false" customHeight="false" outlineLevel="0" collapsed="false">
      <c r="A1020" s="4" t="n">
        <v>21</v>
      </c>
      <c r="B1020" s="4" t="n">
        <v>69</v>
      </c>
      <c r="C1020" s="4" t="n">
        <v>170</v>
      </c>
      <c r="D1020" s="4" t="n">
        <v>154</v>
      </c>
      <c r="E1020" s="6" t="n">
        <v>16.2250944477893</v>
      </c>
      <c r="F1020" s="6" t="n">
        <f aca="false">D1020+E1020</f>
        <v>170.225094447789</v>
      </c>
      <c r="G1020" s="6" t="n">
        <f aca="false">F1020-C1020</f>
        <v>0.225094447789303</v>
      </c>
      <c r="H1020" s="4" t="str">
        <f aca="false">IF(G1020&gt;2,"LATE",IF(G1020&lt;-13,"EARLY","IN"))</f>
        <v>IN</v>
      </c>
      <c r="I1020" s="4" t="n">
        <f aca="false">C1020-D1020</f>
        <v>16</v>
      </c>
    </row>
    <row r="1021" customFormat="false" ht="15" hidden="false" customHeight="false" outlineLevel="0" collapsed="false">
      <c r="A1021" s="4" t="n">
        <v>21</v>
      </c>
      <c r="B1021" s="4" t="n">
        <v>77</v>
      </c>
      <c r="C1021" s="4" t="n">
        <v>174</v>
      </c>
      <c r="D1021" s="4" t="n">
        <v>161</v>
      </c>
      <c r="E1021" s="6" t="n">
        <v>11.7111292302002</v>
      </c>
      <c r="F1021" s="6" t="n">
        <f aca="false">D1021+E1021</f>
        <v>172.7111292302</v>
      </c>
      <c r="G1021" s="6" t="n">
        <f aca="false">F1021-C1021</f>
        <v>-1.28887076979976</v>
      </c>
      <c r="H1021" s="4" t="str">
        <f aca="false">IF(G1021&gt;2,"LATE",IF(G1021&lt;-13,"EARLY","IN"))</f>
        <v>IN</v>
      </c>
      <c r="I1021" s="4" t="n">
        <f aca="false">C1021-D1021</f>
        <v>13</v>
      </c>
    </row>
    <row r="1022" customFormat="false" ht="15" hidden="false" customHeight="false" outlineLevel="0" collapsed="false">
      <c r="A1022" s="4" t="n">
        <v>21</v>
      </c>
      <c r="B1022" s="4" t="n">
        <v>81</v>
      </c>
      <c r="C1022" s="4" t="n">
        <v>199</v>
      </c>
      <c r="D1022" s="4" t="n">
        <v>176</v>
      </c>
      <c r="E1022" s="6" t="n">
        <v>18.0027549272699</v>
      </c>
      <c r="F1022" s="6" t="n">
        <f aca="false">D1022+E1022</f>
        <v>194.00275492727</v>
      </c>
      <c r="G1022" s="6" t="n">
        <f aca="false">F1022-C1022</f>
        <v>-4.9972450727301</v>
      </c>
      <c r="H1022" s="4" t="str">
        <f aca="false">IF(G1022&gt;2,"LATE",IF(G1022&lt;-13,"EARLY","IN"))</f>
        <v>IN</v>
      </c>
      <c r="I1022" s="4" t="n">
        <f aca="false">C1022-D1022</f>
        <v>23</v>
      </c>
    </row>
    <row r="1023" customFormat="false" ht="15" hidden="false" customHeight="false" outlineLevel="0" collapsed="false">
      <c r="A1023" s="4" t="n">
        <v>21</v>
      </c>
      <c r="B1023" s="4" t="n">
        <v>82</v>
      </c>
      <c r="C1023" s="4" t="n">
        <v>223</v>
      </c>
      <c r="D1023" s="4" t="n">
        <v>208</v>
      </c>
      <c r="E1023" s="6" t="n">
        <v>16.6599983709093</v>
      </c>
      <c r="F1023" s="6" t="n">
        <f aca="false">D1023+E1023</f>
        <v>224.659998370909</v>
      </c>
      <c r="G1023" s="6" t="n">
        <f aca="false">F1023-C1023</f>
        <v>1.65999837090925</v>
      </c>
      <c r="H1023" s="4" t="str">
        <f aca="false">IF(G1023&gt;2,"LATE",IF(G1023&lt;-13,"EARLY","IN"))</f>
        <v>IN</v>
      </c>
      <c r="I1023" s="4" t="n">
        <f aca="false">C1023-D1023</f>
        <v>15</v>
      </c>
    </row>
    <row r="1024" customFormat="false" ht="15" hidden="false" customHeight="false" outlineLevel="0" collapsed="false">
      <c r="A1024" s="4" t="n">
        <v>21</v>
      </c>
      <c r="B1024" s="4" t="n">
        <v>85</v>
      </c>
      <c r="C1024" s="4" t="n">
        <v>246</v>
      </c>
      <c r="D1024" s="4" t="n">
        <v>224</v>
      </c>
      <c r="E1024" s="6" t="n">
        <v>19.2357007609905</v>
      </c>
      <c r="F1024" s="6" t="n">
        <f aca="false">D1024+E1024</f>
        <v>243.23570076099</v>
      </c>
      <c r="G1024" s="6" t="n">
        <f aca="false">F1024-C1024</f>
        <v>-2.76429923900955</v>
      </c>
      <c r="H1024" s="4" t="str">
        <f aca="false">IF(G1024&gt;2,"LATE",IF(G1024&lt;-13,"EARLY","IN"))</f>
        <v>IN</v>
      </c>
      <c r="I1024" s="4" t="n">
        <f aca="false">C1024-D1024</f>
        <v>22</v>
      </c>
    </row>
    <row r="1025" customFormat="false" ht="15" hidden="false" customHeight="false" outlineLevel="0" collapsed="false">
      <c r="A1025" s="4" t="n">
        <v>21</v>
      </c>
      <c r="B1025" s="4" t="n">
        <v>98</v>
      </c>
      <c r="C1025" s="4" t="n">
        <v>206</v>
      </c>
      <c r="D1025" s="4" t="n">
        <v>190</v>
      </c>
      <c r="E1025" s="6" t="n">
        <v>15.006708393382</v>
      </c>
      <c r="F1025" s="6" t="n">
        <f aca="false">D1025+E1025</f>
        <v>205.006708393382</v>
      </c>
      <c r="G1025" s="6" t="n">
        <f aca="false">F1025-C1025</f>
        <v>-0.993291606617959</v>
      </c>
      <c r="H1025" s="4" t="str">
        <f aca="false">IF(G1025&gt;2,"LATE",IF(G1025&lt;-13,"EARLY","IN"))</f>
        <v>IN</v>
      </c>
      <c r="I1025" s="4" t="n">
        <f aca="false">C1025-D1025</f>
        <v>16</v>
      </c>
    </row>
    <row r="1026" customFormat="false" ht="15" hidden="false" customHeight="false" outlineLevel="0" collapsed="false">
      <c r="A1026" s="4" t="n">
        <v>21</v>
      </c>
      <c r="B1026" s="4" t="n">
        <v>102</v>
      </c>
      <c r="C1026" s="4" t="n">
        <v>222</v>
      </c>
      <c r="D1026" s="4" t="n">
        <v>201</v>
      </c>
      <c r="E1026" s="6" t="n">
        <v>17.3064295073259</v>
      </c>
      <c r="F1026" s="6" t="n">
        <f aca="false">D1026+E1026</f>
        <v>218.306429507326</v>
      </c>
      <c r="G1026" s="6" t="n">
        <f aca="false">F1026-C1026</f>
        <v>-3.6935704926741</v>
      </c>
      <c r="H1026" s="4" t="str">
        <f aca="false">IF(G1026&gt;2,"LATE",IF(G1026&lt;-13,"EARLY","IN"))</f>
        <v>IN</v>
      </c>
      <c r="I1026" s="4" t="n">
        <f aca="false">C1026-D1026</f>
        <v>21</v>
      </c>
    </row>
    <row r="1027" customFormat="false" ht="15" hidden="false" customHeight="false" outlineLevel="0" collapsed="false">
      <c r="A1027" s="4" t="n">
        <v>21</v>
      </c>
      <c r="B1027" s="4" t="n">
        <v>104</v>
      </c>
      <c r="C1027" s="4" t="n">
        <v>178</v>
      </c>
      <c r="D1027" s="4" t="n">
        <v>158</v>
      </c>
      <c r="E1027" s="6" t="n">
        <v>15.492140520176</v>
      </c>
      <c r="F1027" s="6" t="n">
        <f aca="false">D1027+E1027</f>
        <v>173.492140520176</v>
      </c>
      <c r="G1027" s="6" t="n">
        <f aca="false">F1027-C1027</f>
        <v>-4.50785947982402</v>
      </c>
      <c r="H1027" s="4" t="str">
        <f aca="false">IF(G1027&gt;2,"LATE",IF(G1027&lt;-13,"EARLY","IN"))</f>
        <v>IN</v>
      </c>
      <c r="I1027" s="4" t="n">
        <f aca="false">C1027-D1027</f>
        <v>20</v>
      </c>
    </row>
    <row r="1028" customFormat="false" ht="15" hidden="false" customHeight="false" outlineLevel="0" collapsed="false">
      <c r="A1028" s="4" t="n">
        <v>21</v>
      </c>
      <c r="B1028" s="4" t="n">
        <v>105</v>
      </c>
      <c r="C1028" s="4" t="n">
        <v>149</v>
      </c>
      <c r="D1028" s="4" t="n">
        <v>136</v>
      </c>
      <c r="E1028" s="6" t="n">
        <v>18.2540899970543</v>
      </c>
      <c r="F1028" s="6" t="n">
        <f aca="false">D1028+E1028</f>
        <v>154.254089997054</v>
      </c>
      <c r="G1028" s="6" t="n">
        <f aca="false">F1028-C1028</f>
        <v>5.25408999705428</v>
      </c>
      <c r="H1028" s="4" t="str">
        <f aca="false">IF(G1028&gt;2,"LATE",IF(G1028&lt;-13,"EARLY","IN"))</f>
        <v>LATE</v>
      </c>
      <c r="I1028" s="4" t="n">
        <f aca="false">C1028-D1028</f>
        <v>13</v>
      </c>
    </row>
    <row r="1029" customFormat="false" ht="15" hidden="false" customHeight="false" outlineLevel="0" collapsed="false">
      <c r="A1029" s="4" t="n">
        <v>21</v>
      </c>
      <c r="B1029" s="4" t="n">
        <v>106</v>
      </c>
      <c r="C1029" s="4" t="n">
        <v>189</v>
      </c>
      <c r="D1029" s="4" t="n">
        <v>170</v>
      </c>
      <c r="E1029" s="6" t="n">
        <v>14.7021787850959</v>
      </c>
      <c r="F1029" s="6" t="n">
        <f aca="false">D1029+E1029</f>
        <v>184.702178785096</v>
      </c>
      <c r="G1029" s="6" t="n">
        <f aca="false">F1029-C1029</f>
        <v>-4.2978212149041</v>
      </c>
      <c r="H1029" s="4" t="str">
        <f aca="false">IF(G1029&gt;2,"LATE",IF(G1029&lt;-13,"EARLY","IN"))</f>
        <v>IN</v>
      </c>
      <c r="I1029" s="4" t="n">
        <f aca="false">C1029-D1029</f>
        <v>19</v>
      </c>
    </row>
    <row r="1030" customFormat="false" ht="15" hidden="false" customHeight="false" outlineLevel="0" collapsed="false">
      <c r="A1030" s="4" t="n">
        <v>21</v>
      </c>
      <c r="B1030" s="4" t="n">
        <v>120</v>
      </c>
      <c r="C1030" s="4" t="n">
        <v>170</v>
      </c>
      <c r="D1030" s="4" t="n">
        <v>153</v>
      </c>
      <c r="E1030" s="6" t="n">
        <v>18.1982241413834</v>
      </c>
      <c r="F1030" s="6" t="n">
        <f aca="false">D1030+E1030</f>
        <v>171.198224141383</v>
      </c>
      <c r="G1030" s="6" t="n">
        <f aca="false">F1030-C1030</f>
        <v>1.19822414138338</v>
      </c>
      <c r="H1030" s="4" t="str">
        <f aca="false">IF(G1030&gt;2,"LATE",IF(G1030&lt;-13,"EARLY","IN"))</f>
        <v>IN</v>
      </c>
      <c r="I1030" s="4" t="n">
        <f aca="false">C1030-D1030</f>
        <v>17</v>
      </c>
    </row>
    <row r="1031" customFormat="false" ht="15" hidden="false" customHeight="false" outlineLevel="0" collapsed="false">
      <c r="A1031" s="4" t="n">
        <v>21</v>
      </c>
      <c r="B1031" s="4" t="n">
        <v>121</v>
      </c>
      <c r="C1031" s="4" t="n">
        <v>153</v>
      </c>
      <c r="D1031" s="4" t="n">
        <v>134</v>
      </c>
      <c r="E1031" s="6" t="n">
        <v>14.519587093074</v>
      </c>
      <c r="F1031" s="6" t="n">
        <f aca="false">D1031+E1031</f>
        <v>148.519587093074</v>
      </c>
      <c r="G1031" s="6" t="n">
        <f aca="false">F1031-C1031</f>
        <v>-4.48041290692603</v>
      </c>
      <c r="H1031" s="4" t="str">
        <f aca="false">IF(G1031&gt;2,"LATE",IF(G1031&lt;-13,"EARLY","IN"))</f>
        <v>IN</v>
      </c>
      <c r="I1031" s="4" t="n">
        <f aca="false">C1031-D1031</f>
        <v>19</v>
      </c>
    </row>
    <row r="1032" customFormat="false" ht="15" hidden="false" customHeight="false" outlineLevel="0" collapsed="false">
      <c r="A1032" s="4" t="n">
        <v>21</v>
      </c>
      <c r="B1032" s="4" t="n">
        <v>122</v>
      </c>
      <c r="C1032" s="4" t="n">
        <v>237</v>
      </c>
      <c r="D1032" s="4" t="n">
        <v>215</v>
      </c>
      <c r="E1032" s="6" t="n">
        <v>18.3563934865694</v>
      </c>
      <c r="F1032" s="6" t="n">
        <f aca="false">D1032+E1032</f>
        <v>233.356393486569</v>
      </c>
      <c r="G1032" s="6" t="n">
        <f aca="false">F1032-C1032</f>
        <v>-3.6436065134306</v>
      </c>
      <c r="H1032" s="4" t="str">
        <f aca="false">IF(G1032&gt;2,"LATE",IF(G1032&lt;-13,"EARLY","IN"))</f>
        <v>IN</v>
      </c>
      <c r="I1032" s="4" t="n">
        <f aca="false">C1032-D1032</f>
        <v>22</v>
      </c>
    </row>
    <row r="1033" customFormat="false" ht="15" hidden="false" customHeight="false" outlineLevel="0" collapsed="false">
      <c r="A1033" s="4" t="n">
        <v>21</v>
      </c>
      <c r="B1033" s="4" t="n">
        <v>126</v>
      </c>
      <c r="C1033" s="4" t="n">
        <v>241</v>
      </c>
      <c r="D1033" s="4" t="n">
        <v>227</v>
      </c>
      <c r="E1033" s="6" t="n">
        <v>12.5931507691999</v>
      </c>
      <c r="F1033" s="6" t="n">
        <f aca="false">D1033+E1033</f>
        <v>239.5931507692</v>
      </c>
      <c r="G1033" s="6" t="n">
        <f aca="false">F1033-C1033</f>
        <v>-1.40684923080008</v>
      </c>
      <c r="H1033" s="4" t="str">
        <f aca="false">IF(G1033&gt;2,"LATE",IF(G1033&lt;-13,"EARLY","IN"))</f>
        <v>IN</v>
      </c>
      <c r="I1033" s="4" t="n">
        <f aca="false">C1033-D1033</f>
        <v>14</v>
      </c>
    </row>
    <row r="1034" customFormat="false" ht="15" hidden="false" customHeight="false" outlineLevel="0" collapsed="false">
      <c r="A1034" s="4" t="n">
        <v>21</v>
      </c>
      <c r="B1034" s="4" t="n">
        <v>129</v>
      </c>
      <c r="C1034" s="4" t="n">
        <v>147</v>
      </c>
      <c r="D1034" s="4" t="n">
        <v>130</v>
      </c>
      <c r="E1034" s="6" t="n">
        <v>18.4711257853311</v>
      </c>
      <c r="F1034" s="6" t="n">
        <f aca="false">D1034+E1034</f>
        <v>148.471125785331</v>
      </c>
      <c r="G1034" s="6" t="n">
        <f aca="false">F1034-C1034</f>
        <v>1.47112578533108</v>
      </c>
      <c r="H1034" s="4" t="str">
        <f aca="false">IF(G1034&gt;2,"LATE",IF(G1034&lt;-13,"EARLY","IN"))</f>
        <v>IN</v>
      </c>
      <c r="I1034" s="4" t="n">
        <f aca="false">C1034-D1034</f>
        <v>17</v>
      </c>
    </row>
    <row r="1035" customFormat="false" ht="15" hidden="false" customHeight="false" outlineLevel="0" collapsed="false">
      <c r="A1035" s="4" t="n">
        <v>21</v>
      </c>
      <c r="B1035" s="4" t="n">
        <v>138</v>
      </c>
      <c r="C1035" s="4" t="n">
        <v>181</v>
      </c>
      <c r="D1035" s="4" t="n">
        <v>168</v>
      </c>
      <c r="E1035" s="6" t="n">
        <v>18.5204963314476</v>
      </c>
      <c r="F1035" s="6" t="n">
        <f aca="false">D1035+E1035</f>
        <v>186.520496331448</v>
      </c>
      <c r="G1035" s="6" t="n">
        <f aca="false">F1035-C1035</f>
        <v>5.52049633144759</v>
      </c>
      <c r="H1035" s="4" t="str">
        <f aca="false">IF(G1035&gt;2,"LATE",IF(G1035&lt;-13,"EARLY","IN"))</f>
        <v>LATE</v>
      </c>
      <c r="I1035" s="4" t="n">
        <f aca="false">C1035-D1035</f>
        <v>13</v>
      </c>
    </row>
    <row r="1036" customFormat="false" ht="15" hidden="false" customHeight="false" outlineLevel="0" collapsed="false">
      <c r="A1036" s="4" t="n">
        <v>21</v>
      </c>
      <c r="B1036" s="4" t="n">
        <v>139</v>
      </c>
      <c r="C1036" s="4" t="n">
        <v>211</v>
      </c>
      <c r="D1036" s="4" t="n">
        <v>194</v>
      </c>
      <c r="E1036" s="6" t="n">
        <v>18.3260783507093</v>
      </c>
      <c r="F1036" s="6" t="n">
        <f aca="false">D1036+E1036</f>
        <v>212.326078350709</v>
      </c>
      <c r="G1036" s="6" t="n">
        <f aca="false">F1036-C1036</f>
        <v>1.32607835070928</v>
      </c>
      <c r="H1036" s="4" t="str">
        <f aca="false">IF(G1036&gt;2,"LATE",IF(G1036&lt;-13,"EARLY","IN"))</f>
        <v>IN</v>
      </c>
      <c r="I1036" s="4" t="n">
        <f aca="false">C1036-D1036</f>
        <v>17</v>
      </c>
    </row>
    <row r="1037" customFormat="false" ht="15" hidden="false" customHeight="false" outlineLevel="0" collapsed="false">
      <c r="A1037" s="4" t="n">
        <v>21</v>
      </c>
      <c r="B1037" s="4" t="n">
        <v>146</v>
      </c>
      <c r="C1037" s="4" t="n">
        <v>231</v>
      </c>
      <c r="D1037" s="4" t="n">
        <v>213</v>
      </c>
      <c r="E1037" s="6" t="n">
        <v>11.8918753968412</v>
      </c>
      <c r="F1037" s="6" t="n">
        <f aca="false">D1037+E1037</f>
        <v>224.891875396841</v>
      </c>
      <c r="G1037" s="6" t="n">
        <f aca="false">F1037-C1037</f>
        <v>-6.10812460315879</v>
      </c>
      <c r="H1037" s="4" t="str">
        <f aca="false">IF(G1037&gt;2,"LATE",IF(G1037&lt;-13,"EARLY","IN"))</f>
        <v>IN</v>
      </c>
      <c r="I1037" s="4" t="n">
        <f aca="false">C1037-D1037</f>
        <v>18</v>
      </c>
    </row>
    <row r="1038" customFormat="false" ht="15" hidden="false" customHeight="false" outlineLevel="0" collapsed="false">
      <c r="A1038" s="4" t="n">
        <v>21</v>
      </c>
      <c r="B1038" s="4" t="n">
        <v>149</v>
      </c>
      <c r="C1038" s="4" t="n">
        <v>192</v>
      </c>
      <c r="D1038" s="4" t="n">
        <v>167</v>
      </c>
      <c r="E1038" s="6" t="n">
        <v>17.1384266774176</v>
      </c>
      <c r="F1038" s="6" t="n">
        <f aca="false">D1038+E1038</f>
        <v>184.138426677418</v>
      </c>
      <c r="G1038" s="6" t="n">
        <f aca="false">F1038-C1038</f>
        <v>-7.86157332258242</v>
      </c>
      <c r="H1038" s="4" t="str">
        <f aca="false">IF(G1038&gt;2,"LATE",IF(G1038&lt;-13,"EARLY","IN"))</f>
        <v>IN</v>
      </c>
      <c r="I1038" s="4" t="n">
        <f aca="false">C1038-D1038</f>
        <v>25</v>
      </c>
    </row>
    <row r="1039" customFormat="false" ht="15" hidden="false" customHeight="false" outlineLevel="0" collapsed="false">
      <c r="A1039" s="4" t="n">
        <v>21</v>
      </c>
      <c r="B1039" s="4" t="n">
        <v>151</v>
      </c>
      <c r="C1039" s="4" t="n">
        <v>317</v>
      </c>
      <c r="D1039" s="4" t="n">
        <v>293</v>
      </c>
      <c r="E1039" s="6" t="n">
        <v>14.9897620369809</v>
      </c>
      <c r="F1039" s="6" t="n">
        <f aca="false">D1039+E1039</f>
        <v>307.989762036981</v>
      </c>
      <c r="G1039" s="6" t="n">
        <f aca="false">F1039-C1039</f>
        <v>-9.01023796301911</v>
      </c>
      <c r="H1039" s="4" t="str">
        <f aca="false">IF(G1039&gt;2,"LATE",IF(G1039&lt;-13,"EARLY","IN"))</f>
        <v>IN</v>
      </c>
      <c r="I1039" s="4" t="n">
        <f aca="false">C1039-D1039</f>
        <v>24</v>
      </c>
    </row>
    <row r="1040" customFormat="false" ht="15" hidden="false" customHeight="false" outlineLevel="0" collapsed="false">
      <c r="A1040" s="4" t="n">
        <v>21</v>
      </c>
      <c r="B1040" s="4" t="n">
        <v>158</v>
      </c>
      <c r="C1040" s="4" t="n">
        <v>167</v>
      </c>
      <c r="D1040" s="4" t="n">
        <v>147</v>
      </c>
      <c r="E1040" s="6" t="n">
        <v>14.8761462317298</v>
      </c>
      <c r="F1040" s="6" t="n">
        <f aca="false">D1040+E1040</f>
        <v>161.87614623173</v>
      </c>
      <c r="G1040" s="6" t="n">
        <f aca="false">F1040-C1040</f>
        <v>-5.12385376827024</v>
      </c>
      <c r="H1040" s="4" t="str">
        <f aca="false">IF(G1040&gt;2,"LATE",IF(G1040&lt;-13,"EARLY","IN"))</f>
        <v>IN</v>
      </c>
      <c r="I1040" s="4" t="n">
        <f aca="false">C1040-D1040</f>
        <v>20</v>
      </c>
    </row>
    <row r="1041" customFormat="false" ht="15" hidden="false" customHeight="false" outlineLevel="0" collapsed="false">
      <c r="A1041" s="4" t="n">
        <v>21</v>
      </c>
      <c r="B1041" s="4" t="n">
        <v>166</v>
      </c>
      <c r="C1041" s="4" t="n">
        <v>229</v>
      </c>
      <c r="D1041" s="4" t="n">
        <v>213</v>
      </c>
      <c r="E1041" s="6" t="n">
        <v>16.0060348556558</v>
      </c>
      <c r="F1041" s="6" t="n">
        <f aca="false">D1041+E1041</f>
        <v>229.006034855656</v>
      </c>
      <c r="G1041" s="6" t="n">
        <f aca="false">F1041-C1041</f>
        <v>0.00603485565585515</v>
      </c>
      <c r="H1041" s="4" t="str">
        <f aca="false">IF(G1041&gt;2,"LATE",IF(G1041&lt;-13,"EARLY","IN"))</f>
        <v>IN</v>
      </c>
      <c r="I1041" s="4" t="n">
        <f aca="false">C1041-D1041</f>
        <v>16</v>
      </c>
    </row>
    <row r="1042" customFormat="false" ht="15" hidden="false" customHeight="false" outlineLevel="0" collapsed="false">
      <c r="A1042" s="4" t="n">
        <v>21</v>
      </c>
      <c r="B1042" s="4" t="n">
        <v>171</v>
      </c>
      <c r="C1042" s="4" t="n">
        <v>258</v>
      </c>
      <c r="D1042" s="4" t="n">
        <v>234</v>
      </c>
      <c r="E1042" s="6" t="n">
        <v>17.920533943815</v>
      </c>
      <c r="F1042" s="6" t="n">
        <f aca="false">D1042+E1042</f>
        <v>251.920533943815</v>
      </c>
      <c r="G1042" s="6" t="n">
        <f aca="false">F1042-C1042</f>
        <v>-6.07946605618503</v>
      </c>
      <c r="H1042" s="4" t="str">
        <f aca="false">IF(G1042&gt;2,"LATE",IF(G1042&lt;-13,"EARLY","IN"))</f>
        <v>IN</v>
      </c>
      <c r="I1042" s="4" t="n">
        <f aca="false">C1042-D1042</f>
        <v>24</v>
      </c>
    </row>
    <row r="1043" customFormat="false" ht="15" hidden="false" customHeight="false" outlineLevel="0" collapsed="false">
      <c r="A1043" s="4" t="n">
        <v>21</v>
      </c>
      <c r="B1043" s="4" t="n">
        <v>172</v>
      </c>
      <c r="C1043" s="4" t="n">
        <v>222</v>
      </c>
      <c r="D1043" s="4" t="n">
        <v>206</v>
      </c>
      <c r="E1043" s="6" t="n">
        <v>18.0885171434631</v>
      </c>
      <c r="F1043" s="6" t="n">
        <f aca="false">D1043+E1043</f>
        <v>224.088517143463</v>
      </c>
      <c r="G1043" s="6" t="n">
        <f aca="false">F1043-C1043</f>
        <v>2.08851714346309</v>
      </c>
      <c r="H1043" s="4" t="str">
        <f aca="false">IF(G1043&gt;2,"LATE",IF(G1043&lt;-13,"EARLY","IN"))</f>
        <v>LATE</v>
      </c>
      <c r="I1043" s="4" t="n">
        <f aca="false">C1043-D1043</f>
        <v>16</v>
      </c>
    </row>
    <row r="1044" customFormat="false" ht="15" hidden="false" customHeight="false" outlineLevel="0" collapsed="false">
      <c r="A1044" s="4" t="n">
        <v>21</v>
      </c>
      <c r="B1044" s="4" t="n">
        <v>173</v>
      </c>
      <c r="C1044" s="4" t="n">
        <v>190</v>
      </c>
      <c r="D1044" s="4" t="n">
        <v>172</v>
      </c>
      <c r="E1044" s="6" t="n">
        <v>18.0546163081351</v>
      </c>
      <c r="F1044" s="6" t="n">
        <f aca="false">D1044+E1044</f>
        <v>190.054616308135</v>
      </c>
      <c r="G1044" s="6" t="n">
        <f aca="false">F1044-C1044</f>
        <v>0.0546163081351381</v>
      </c>
      <c r="H1044" s="4" t="str">
        <f aca="false">IF(G1044&gt;2,"LATE",IF(G1044&lt;-13,"EARLY","IN"))</f>
        <v>IN</v>
      </c>
      <c r="I1044" s="4" t="n">
        <f aca="false">C1044-D1044</f>
        <v>18</v>
      </c>
    </row>
    <row r="1045" customFormat="false" ht="15" hidden="false" customHeight="false" outlineLevel="0" collapsed="false">
      <c r="A1045" s="4" t="n">
        <v>21</v>
      </c>
      <c r="B1045" s="4" t="n">
        <v>175</v>
      </c>
      <c r="C1045" s="4" t="n">
        <v>278</v>
      </c>
      <c r="D1045" s="4" t="n">
        <v>252</v>
      </c>
      <c r="E1045" s="6" t="n">
        <v>15.4919153490282</v>
      </c>
      <c r="F1045" s="6" t="n">
        <f aca="false">D1045+E1045</f>
        <v>267.491915349028</v>
      </c>
      <c r="G1045" s="6" t="n">
        <f aca="false">F1045-C1045</f>
        <v>-10.5080846509717</v>
      </c>
      <c r="H1045" s="4" t="str">
        <f aca="false">IF(G1045&gt;2,"LATE",IF(G1045&lt;-13,"EARLY","IN"))</f>
        <v>IN</v>
      </c>
      <c r="I1045" s="4" t="n">
        <f aca="false">C1045-D1045</f>
        <v>26</v>
      </c>
    </row>
    <row r="1046" customFormat="false" ht="15" hidden="false" customHeight="false" outlineLevel="0" collapsed="false">
      <c r="A1046" s="4" t="n">
        <v>21</v>
      </c>
      <c r="B1046" s="4" t="n">
        <v>185</v>
      </c>
      <c r="C1046" s="4" t="n">
        <v>198</v>
      </c>
      <c r="D1046" s="4" t="n">
        <v>180</v>
      </c>
      <c r="E1046" s="6" t="n">
        <v>19.8977989572373</v>
      </c>
      <c r="F1046" s="6" t="n">
        <f aca="false">D1046+E1046</f>
        <v>199.897798957237</v>
      </c>
      <c r="G1046" s="6" t="n">
        <f aca="false">F1046-C1046</f>
        <v>1.89779895723726</v>
      </c>
      <c r="H1046" s="4" t="str">
        <f aca="false">IF(G1046&gt;2,"LATE",IF(G1046&lt;-13,"EARLY","IN"))</f>
        <v>IN</v>
      </c>
      <c r="I1046" s="4" t="n">
        <f aca="false">C1046-D1046</f>
        <v>18</v>
      </c>
    </row>
    <row r="1047" customFormat="false" ht="15" hidden="false" customHeight="false" outlineLevel="0" collapsed="false">
      <c r="A1047" s="4" t="n">
        <v>21</v>
      </c>
      <c r="B1047" s="4" t="n">
        <v>188</v>
      </c>
      <c r="C1047" s="4" t="n">
        <v>246</v>
      </c>
      <c r="D1047" s="4" t="n">
        <v>217</v>
      </c>
      <c r="E1047" s="6" t="n">
        <v>19.9484213225056</v>
      </c>
      <c r="F1047" s="6" t="n">
        <f aca="false">D1047+E1047</f>
        <v>236.948421322506</v>
      </c>
      <c r="G1047" s="6" t="n">
        <f aca="false">F1047-C1047</f>
        <v>-9.05157867749441</v>
      </c>
      <c r="H1047" s="4" t="str">
        <f aca="false">IF(G1047&gt;2,"LATE",IF(G1047&lt;-13,"EARLY","IN"))</f>
        <v>IN</v>
      </c>
      <c r="I1047" s="4" t="n">
        <f aca="false">C1047-D1047</f>
        <v>29</v>
      </c>
    </row>
    <row r="1048" customFormat="false" ht="15" hidden="false" customHeight="false" outlineLevel="0" collapsed="false">
      <c r="A1048" s="4" t="n">
        <v>21</v>
      </c>
      <c r="B1048" s="4" t="n">
        <v>202</v>
      </c>
      <c r="C1048" s="4" t="n">
        <v>236</v>
      </c>
      <c r="D1048" s="4" t="n">
        <v>216</v>
      </c>
      <c r="E1048" s="6" t="n">
        <v>18.2034937720434</v>
      </c>
      <c r="F1048" s="6" t="n">
        <f aca="false">D1048+E1048</f>
        <v>234.203493772043</v>
      </c>
      <c r="G1048" s="6" t="n">
        <f aca="false">F1048-C1048</f>
        <v>-1.79650622795663</v>
      </c>
      <c r="H1048" s="4" t="str">
        <f aca="false">IF(G1048&gt;2,"LATE",IF(G1048&lt;-13,"EARLY","IN"))</f>
        <v>IN</v>
      </c>
      <c r="I1048" s="4" t="n">
        <f aca="false">C1048-D1048</f>
        <v>20</v>
      </c>
    </row>
    <row r="1049" customFormat="false" ht="15" hidden="false" customHeight="false" outlineLevel="0" collapsed="false">
      <c r="A1049" s="4" t="n">
        <v>21</v>
      </c>
      <c r="B1049" s="4" t="n">
        <v>206</v>
      </c>
      <c r="C1049" s="4" t="n">
        <v>155</v>
      </c>
      <c r="D1049" s="4" t="n">
        <v>134</v>
      </c>
      <c r="E1049" s="6" t="n">
        <v>17.774664017124</v>
      </c>
      <c r="F1049" s="6" t="n">
        <f aca="false">D1049+E1049</f>
        <v>151.774664017124</v>
      </c>
      <c r="G1049" s="6" t="n">
        <f aca="false">F1049-C1049</f>
        <v>-3.22533598287603</v>
      </c>
      <c r="H1049" s="4" t="str">
        <f aca="false">IF(G1049&gt;2,"LATE",IF(G1049&lt;-13,"EARLY","IN"))</f>
        <v>IN</v>
      </c>
      <c r="I1049" s="4" t="n">
        <f aca="false">C1049-D1049</f>
        <v>21</v>
      </c>
    </row>
    <row r="1050" customFormat="false" ht="15" hidden="false" customHeight="false" outlineLevel="0" collapsed="false">
      <c r="A1050" s="4" t="n">
        <v>21</v>
      </c>
      <c r="B1050" s="4" t="n">
        <v>211</v>
      </c>
      <c r="C1050" s="4" t="n">
        <v>211</v>
      </c>
      <c r="D1050" s="4" t="n">
        <v>194</v>
      </c>
      <c r="E1050" s="6" t="n">
        <v>17.4378791172304</v>
      </c>
      <c r="F1050" s="6" t="n">
        <f aca="false">D1050+E1050</f>
        <v>211.43787911723</v>
      </c>
      <c r="G1050" s="6" t="n">
        <f aca="false">F1050-C1050</f>
        <v>0.437879117230381</v>
      </c>
      <c r="H1050" s="4" t="str">
        <f aca="false">IF(G1050&gt;2,"LATE",IF(G1050&lt;-13,"EARLY","IN"))</f>
        <v>IN</v>
      </c>
      <c r="I1050" s="4" t="n">
        <f aca="false">C1050-D1050</f>
        <v>17</v>
      </c>
    </row>
    <row r="1051" customFormat="false" ht="15" hidden="false" customHeight="false" outlineLevel="0" collapsed="false">
      <c r="A1051" s="4" t="n">
        <v>21</v>
      </c>
      <c r="B1051" s="4" t="n">
        <v>215</v>
      </c>
      <c r="C1051" s="4" t="n">
        <v>156</v>
      </c>
      <c r="D1051" s="4" t="n">
        <v>141</v>
      </c>
      <c r="E1051" s="6" t="n">
        <v>14.9046516319145</v>
      </c>
      <c r="F1051" s="6" t="n">
        <f aca="false">D1051+E1051</f>
        <v>155.904651631914</v>
      </c>
      <c r="G1051" s="6" t="n">
        <f aca="false">F1051-C1051</f>
        <v>-0.0953483680855527</v>
      </c>
      <c r="H1051" s="4" t="str">
        <f aca="false">IF(G1051&gt;2,"LATE",IF(G1051&lt;-13,"EARLY","IN"))</f>
        <v>IN</v>
      </c>
      <c r="I1051" s="4" t="n">
        <f aca="false">C1051-D1051</f>
        <v>15</v>
      </c>
    </row>
    <row r="1052" customFormat="false" ht="15" hidden="false" customHeight="false" outlineLevel="0" collapsed="false">
      <c r="A1052" s="4" t="n">
        <v>22</v>
      </c>
      <c r="B1052" s="4" t="n">
        <v>1</v>
      </c>
      <c r="C1052" s="4" t="n">
        <v>223</v>
      </c>
      <c r="D1052" s="4" t="n">
        <v>200</v>
      </c>
      <c r="E1052" s="6" t="n">
        <v>12.9531284472898</v>
      </c>
      <c r="F1052" s="6" t="n">
        <f aca="false">D1052+E1052</f>
        <v>212.95312844729</v>
      </c>
      <c r="G1052" s="6" t="n">
        <f aca="false">F1052-C1052</f>
        <v>-10.0468715527102</v>
      </c>
      <c r="H1052" s="4" t="str">
        <f aca="false">IF(G1052&gt;2,"LATE",IF(G1052&lt;-13,"EARLY","IN"))</f>
        <v>IN</v>
      </c>
      <c r="I1052" s="4" t="n">
        <f aca="false">C1052-D1052</f>
        <v>23</v>
      </c>
    </row>
    <row r="1053" customFormat="false" ht="15" hidden="false" customHeight="false" outlineLevel="0" collapsed="false">
      <c r="A1053" s="4" t="n">
        <v>22</v>
      </c>
      <c r="B1053" s="4" t="n">
        <v>4</v>
      </c>
      <c r="C1053" s="4" t="n">
        <v>159</v>
      </c>
      <c r="D1053" s="4" t="n">
        <v>137</v>
      </c>
      <c r="E1053" s="6" t="n">
        <v>15.1619223550118</v>
      </c>
      <c r="F1053" s="6" t="n">
        <f aca="false">D1053+E1053</f>
        <v>152.161922355012</v>
      </c>
      <c r="G1053" s="6" t="n">
        <f aca="false">F1053-C1053</f>
        <v>-6.8380776449882</v>
      </c>
      <c r="H1053" s="4" t="str">
        <f aca="false">IF(G1053&gt;2,"LATE",IF(G1053&lt;-13,"EARLY","IN"))</f>
        <v>IN</v>
      </c>
      <c r="I1053" s="4" t="n">
        <f aca="false">C1053-D1053</f>
        <v>22</v>
      </c>
    </row>
    <row r="1054" customFormat="false" ht="15" hidden="false" customHeight="false" outlineLevel="0" collapsed="false">
      <c r="A1054" s="4" t="n">
        <v>22</v>
      </c>
      <c r="B1054" s="4" t="n">
        <v>14</v>
      </c>
      <c r="C1054" s="4" t="n">
        <v>147</v>
      </c>
      <c r="D1054" s="4" t="n">
        <v>132</v>
      </c>
      <c r="E1054" s="6" t="n">
        <v>15.3636414333917</v>
      </c>
      <c r="F1054" s="6" t="n">
        <f aca="false">D1054+E1054</f>
        <v>147.363641433392</v>
      </c>
      <c r="G1054" s="6" t="n">
        <f aca="false">F1054-C1054</f>
        <v>0.363641433391706</v>
      </c>
      <c r="H1054" s="4" t="str">
        <f aca="false">IF(G1054&gt;2,"LATE",IF(G1054&lt;-13,"EARLY","IN"))</f>
        <v>IN</v>
      </c>
      <c r="I1054" s="4" t="n">
        <f aca="false">C1054-D1054</f>
        <v>15</v>
      </c>
    </row>
    <row r="1055" customFormat="false" ht="15" hidden="false" customHeight="false" outlineLevel="0" collapsed="false">
      <c r="A1055" s="4" t="n">
        <v>22</v>
      </c>
      <c r="B1055" s="4" t="n">
        <v>15</v>
      </c>
      <c r="C1055" s="4" t="n">
        <v>178</v>
      </c>
      <c r="D1055" s="4" t="n">
        <v>161</v>
      </c>
      <c r="E1055" s="6" t="n">
        <v>13.1617907603318</v>
      </c>
      <c r="F1055" s="6" t="n">
        <f aca="false">D1055+E1055</f>
        <v>174.161790760332</v>
      </c>
      <c r="G1055" s="6" t="n">
        <f aca="false">F1055-C1055</f>
        <v>-3.83820923966823</v>
      </c>
      <c r="H1055" s="4" t="str">
        <f aca="false">IF(G1055&gt;2,"LATE",IF(G1055&lt;-13,"EARLY","IN"))</f>
        <v>IN</v>
      </c>
      <c r="I1055" s="4" t="n">
        <f aca="false">C1055-D1055</f>
        <v>17</v>
      </c>
    </row>
    <row r="1056" customFormat="false" ht="15" hidden="false" customHeight="false" outlineLevel="0" collapsed="false">
      <c r="A1056" s="4" t="n">
        <v>22</v>
      </c>
      <c r="B1056" s="4" t="n">
        <v>18</v>
      </c>
      <c r="C1056" s="4" t="n">
        <v>196</v>
      </c>
      <c r="D1056" s="4" t="n">
        <v>179</v>
      </c>
      <c r="E1056" s="6" t="n">
        <v>12.6649020710378</v>
      </c>
      <c r="F1056" s="6" t="n">
        <f aca="false">D1056+E1056</f>
        <v>191.664902071038</v>
      </c>
      <c r="G1056" s="6" t="n">
        <f aca="false">F1056-C1056</f>
        <v>-4.33509792896223</v>
      </c>
      <c r="H1056" s="4" t="str">
        <f aca="false">IF(G1056&gt;2,"LATE",IF(G1056&lt;-13,"EARLY","IN"))</f>
        <v>IN</v>
      </c>
      <c r="I1056" s="4" t="n">
        <f aca="false">C1056-D1056</f>
        <v>17</v>
      </c>
    </row>
    <row r="1057" customFormat="false" ht="15" hidden="false" customHeight="false" outlineLevel="0" collapsed="false">
      <c r="A1057" s="4" t="n">
        <v>22</v>
      </c>
      <c r="B1057" s="4" t="n">
        <v>26</v>
      </c>
      <c r="C1057" s="4" t="n">
        <v>210</v>
      </c>
      <c r="D1057" s="4" t="n">
        <v>192</v>
      </c>
      <c r="E1057" s="6" t="n">
        <v>15.4974311506426</v>
      </c>
      <c r="F1057" s="6" t="n">
        <f aca="false">D1057+E1057</f>
        <v>207.497431150643</v>
      </c>
      <c r="G1057" s="6" t="n">
        <f aca="false">F1057-C1057</f>
        <v>-2.5025688493574</v>
      </c>
      <c r="H1057" s="4" t="str">
        <f aca="false">IF(G1057&gt;2,"LATE",IF(G1057&lt;-13,"EARLY","IN"))</f>
        <v>IN</v>
      </c>
      <c r="I1057" s="4" t="n">
        <f aca="false">C1057-D1057</f>
        <v>18</v>
      </c>
    </row>
    <row r="1058" customFormat="false" ht="15" hidden="false" customHeight="false" outlineLevel="0" collapsed="false">
      <c r="A1058" s="4" t="n">
        <v>22</v>
      </c>
      <c r="B1058" s="4" t="n">
        <v>28</v>
      </c>
      <c r="C1058" s="4" t="n">
        <v>278</v>
      </c>
      <c r="D1058" s="4" t="n">
        <v>261</v>
      </c>
      <c r="E1058" s="6" t="n">
        <v>12.6283042425727</v>
      </c>
      <c r="F1058" s="6" t="n">
        <f aca="false">D1058+E1058</f>
        <v>273.628304242573</v>
      </c>
      <c r="G1058" s="6" t="n">
        <f aca="false">F1058-C1058</f>
        <v>-4.37169575742729</v>
      </c>
      <c r="H1058" s="4" t="str">
        <f aca="false">IF(G1058&gt;2,"LATE",IF(G1058&lt;-13,"EARLY","IN"))</f>
        <v>IN</v>
      </c>
      <c r="I1058" s="4" t="n">
        <f aca="false">C1058-D1058</f>
        <v>17</v>
      </c>
    </row>
    <row r="1059" customFormat="false" ht="15" hidden="false" customHeight="false" outlineLevel="0" collapsed="false">
      <c r="A1059" s="4" t="n">
        <v>22</v>
      </c>
      <c r="B1059" s="4" t="n">
        <v>30</v>
      </c>
      <c r="C1059" s="4" t="n">
        <v>200</v>
      </c>
      <c r="D1059" s="4" t="n">
        <v>180</v>
      </c>
      <c r="E1059" s="6" t="n">
        <v>17.0239509764964</v>
      </c>
      <c r="F1059" s="6" t="n">
        <f aca="false">D1059+E1059</f>
        <v>197.023950976496</v>
      </c>
      <c r="G1059" s="6" t="n">
        <f aca="false">F1059-C1059</f>
        <v>-2.97604902350363</v>
      </c>
      <c r="H1059" s="4" t="str">
        <f aca="false">IF(G1059&gt;2,"LATE",IF(G1059&lt;-13,"EARLY","IN"))</f>
        <v>IN</v>
      </c>
      <c r="I1059" s="4" t="n">
        <f aca="false">C1059-D1059</f>
        <v>20</v>
      </c>
    </row>
    <row r="1060" customFormat="false" ht="15" hidden="false" customHeight="false" outlineLevel="0" collapsed="false">
      <c r="A1060" s="4" t="n">
        <v>22</v>
      </c>
      <c r="B1060" s="4" t="n">
        <v>33</v>
      </c>
      <c r="C1060" s="4" t="n">
        <v>286</v>
      </c>
      <c r="D1060" s="4" t="n">
        <v>268</v>
      </c>
      <c r="E1060" s="6" t="n">
        <v>12.4037871122707</v>
      </c>
      <c r="F1060" s="6" t="n">
        <f aca="false">D1060+E1060</f>
        <v>280.403787112271</v>
      </c>
      <c r="G1060" s="6" t="n">
        <f aca="false">F1060-C1060</f>
        <v>-5.59621288772934</v>
      </c>
      <c r="H1060" s="4" t="str">
        <f aca="false">IF(G1060&gt;2,"LATE",IF(G1060&lt;-13,"EARLY","IN"))</f>
        <v>IN</v>
      </c>
      <c r="I1060" s="4" t="n">
        <f aca="false">C1060-D1060</f>
        <v>18</v>
      </c>
    </row>
    <row r="1061" customFormat="false" ht="15" hidden="false" customHeight="false" outlineLevel="0" collapsed="false">
      <c r="A1061" s="4" t="n">
        <v>22</v>
      </c>
      <c r="B1061" s="4" t="n">
        <v>38</v>
      </c>
      <c r="C1061" s="4" t="n">
        <v>287</v>
      </c>
      <c r="D1061" s="4" t="n">
        <v>265</v>
      </c>
      <c r="E1061" s="6" t="n">
        <v>14.6808622487033</v>
      </c>
      <c r="F1061" s="6" t="n">
        <f aca="false">D1061+E1061</f>
        <v>279.680862248703</v>
      </c>
      <c r="G1061" s="6" t="n">
        <f aca="false">F1061-C1061</f>
        <v>-7.31913775129664</v>
      </c>
      <c r="H1061" s="4" t="str">
        <f aca="false">IF(G1061&gt;2,"LATE",IF(G1061&lt;-13,"EARLY","IN"))</f>
        <v>IN</v>
      </c>
      <c r="I1061" s="4" t="n">
        <f aca="false">C1061-D1061</f>
        <v>22</v>
      </c>
    </row>
    <row r="1062" customFormat="false" ht="15" hidden="false" customHeight="false" outlineLevel="0" collapsed="false">
      <c r="A1062" s="4" t="n">
        <v>22</v>
      </c>
      <c r="B1062" s="4" t="n">
        <v>53</v>
      </c>
      <c r="C1062" s="4" t="n">
        <v>259</v>
      </c>
      <c r="D1062" s="4" t="n">
        <v>244</v>
      </c>
      <c r="E1062" s="6" t="n">
        <v>10.3782232642703</v>
      </c>
      <c r="F1062" s="6" t="n">
        <f aca="false">D1062+E1062</f>
        <v>254.37822326427</v>
      </c>
      <c r="G1062" s="6" t="n">
        <f aca="false">F1062-C1062</f>
        <v>-4.62177673572975</v>
      </c>
      <c r="H1062" s="4" t="str">
        <f aca="false">IF(G1062&gt;2,"LATE",IF(G1062&lt;-13,"EARLY","IN"))</f>
        <v>IN</v>
      </c>
      <c r="I1062" s="4" t="n">
        <f aca="false">C1062-D1062</f>
        <v>15</v>
      </c>
    </row>
    <row r="1063" customFormat="false" ht="15" hidden="false" customHeight="false" outlineLevel="0" collapsed="false">
      <c r="A1063" s="4" t="n">
        <v>22</v>
      </c>
      <c r="B1063" s="4" t="n">
        <v>56</v>
      </c>
      <c r="C1063" s="4" t="n">
        <v>162</v>
      </c>
      <c r="D1063" s="4" t="n">
        <v>144</v>
      </c>
      <c r="E1063" s="6" t="n">
        <v>17.3927528138736</v>
      </c>
      <c r="F1063" s="6" t="n">
        <f aca="false">D1063+E1063</f>
        <v>161.392752813874</v>
      </c>
      <c r="G1063" s="6" t="n">
        <f aca="false">F1063-C1063</f>
        <v>-0.607247186126443</v>
      </c>
      <c r="H1063" s="4" t="str">
        <f aca="false">IF(G1063&gt;2,"LATE",IF(G1063&lt;-13,"EARLY","IN"))</f>
        <v>IN</v>
      </c>
      <c r="I1063" s="4" t="n">
        <f aca="false">C1063-D1063</f>
        <v>18</v>
      </c>
    </row>
    <row r="1064" customFormat="false" ht="15" hidden="false" customHeight="false" outlineLevel="0" collapsed="false">
      <c r="A1064" s="4" t="n">
        <v>22</v>
      </c>
      <c r="B1064" s="4" t="n">
        <v>62</v>
      </c>
      <c r="C1064" s="4" t="n">
        <v>238</v>
      </c>
      <c r="D1064" s="4" t="n">
        <v>219</v>
      </c>
      <c r="E1064" s="6" t="n">
        <v>13.3356871905296</v>
      </c>
      <c r="F1064" s="6" t="n">
        <f aca="false">D1064+E1064</f>
        <v>232.33568719053</v>
      </c>
      <c r="G1064" s="6" t="n">
        <f aca="false">F1064-C1064</f>
        <v>-5.6643128094704</v>
      </c>
      <c r="H1064" s="4" t="str">
        <f aca="false">IF(G1064&gt;2,"LATE",IF(G1064&lt;-13,"EARLY","IN"))</f>
        <v>IN</v>
      </c>
      <c r="I1064" s="4" t="n">
        <f aca="false">C1064-D1064</f>
        <v>19</v>
      </c>
    </row>
    <row r="1065" customFormat="false" ht="15" hidden="false" customHeight="false" outlineLevel="0" collapsed="false">
      <c r="A1065" s="4" t="n">
        <v>22</v>
      </c>
      <c r="B1065" s="4" t="n">
        <v>64</v>
      </c>
      <c r="C1065" s="4" t="n">
        <v>154</v>
      </c>
      <c r="D1065" s="4" t="n">
        <v>141</v>
      </c>
      <c r="E1065" s="6" t="n">
        <v>15.695268083384</v>
      </c>
      <c r="F1065" s="6" t="n">
        <f aca="false">D1065+E1065</f>
        <v>156.695268083384</v>
      </c>
      <c r="G1065" s="6" t="n">
        <f aca="false">F1065-C1065</f>
        <v>2.69526808338398</v>
      </c>
      <c r="H1065" s="4" t="str">
        <f aca="false">IF(G1065&gt;2,"LATE",IF(G1065&lt;-13,"EARLY","IN"))</f>
        <v>LATE</v>
      </c>
      <c r="I1065" s="4" t="n">
        <f aca="false">C1065-D1065</f>
        <v>13</v>
      </c>
    </row>
    <row r="1066" customFormat="false" ht="15" hidden="false" customHeight="false" outlineLevel="0" collapsed="false">
      <c r="A1066" s="4" t="n">
        <v>22</v>
      </c>
      <c r="B1066" s="4" t="n">
        <v>70</v>
      </c>
      <c r="C1066" s="4" t="n">
        <v>175</v>
      </c>
      <c r="D1066" s="4" t="n">
        <v>157</v>
      </c>
      <c r="E1066" s="6" t="n">
        <v>15.9417798260591</v>
      </c>
      <c r="F1066" s="6" t="n">
        <f aca="false">D1066+E1066</f>
        <v>172.941779826059</v>
      </c>
      <c r="G1066" s="6" t="n">
        <f aca="false">F1066-C1066</f>
        <v>-2.05822017394092</v>
      </c>
      <c r="H1066" s="4" t="str">
        <f aca="false">IF(G1066&gt;2,"LATE",IF(G1066&lt;-13,"EARLY","IN"))</f>
        <v>IN</v>
      </c>
      <c r="I1066" s="4" t="n">
        <f aca="false">C1066-D1066</f>
        <v>18</v>
      </c>
    </row>
    <row r="1067" customFormat="false" ht="15" hidden="false" customHeight="false" outlineLevel="0" collapsed="false">
      <c r="A1067" s="4" t="n">
        <v>22</v>
      </c>
      <c r="B1067" s="4" t="n">
        <v>75</v>
      </c>
      <c r="C1067" s="4" t="n">
        <v>186</v>
      </c>
      <c r="D1067" s="4" t="n">
        <v>167</v>
      </c>
      <c r="E1067" s="6" t="n">
        <v>17.6283826754176</v>
      </c>
      <c r="F1067" s="6" t="n">
        <f aca="false">D1067+E1067</f>
        <v>184.628382675418</v>
      </c>
      <c r="G1067" s="6" t="n">
        <f aca="false">F1067-C1067</f>
        <v>-1.37161732458239</v>
      </c>
      <c r="H1067" s="4" t="str">
        <f aca="false">IF(G1067&gt;2,"LATE",IF(G1067&lt;-13,"EARLY","IN"))</f>
        <v>IN</v>
      </c>
      <c r="I1067" s="4" t="n">
        <f aca="false">C1067-D1067</f>
        <v>19</v>
      </c>
    </row>
    <row r="1068" customFormat="false" ht="15" hidden="false" customHeight="false" outlineLevel="0" collapsed="false">
      <c r="A1068" s="4" t="n">
        <v>22</v>
      </c>
      <c r="B1068" s="4" t="n">
        <v>79</v>
      </c>
      <c r="C1068" s="4" t="n">
        <v>225</v>
      </c>
      <c r="D1068" s="4" t="n">
        <v>200</v>
      </c>
      <c r="E1068" s="6" t="n">
        <v>16.0083879982709</v>
      </c>
      <c r="F1068" s="6" t="n">
        <f aca="false">D1068+E1068</f>
        <v>216.008387998271</v>
      </c>
      <c r="G1068" s="6" t="n">
        <f aca="false">F1068-C1068</f>
        <v>-8.99161200172915</v>
      </c>
      <c r="H1068" s="4" t="str">
        <f aca="false">IF(G1068&gt;2,"LATE",IF(G1068&lt;-13,"EARLY","IN"))</f>
        <v>IN</v>
      </c>
      <c r="I1068" s="4" t="n">
        <f aca="false">C1068-D1068</f>
        <v>25</v>
      </c>
    </row>
    <row r="1069" customFormat="false" ht="15" hidden="false" customHeight="false" outlineLevel="0" collapsed="false">
      <c r="A1069" s="4" t="n">
        <v>22</v>
      </c>
      <c r="B1069" s="4" t="n">
        <v>92</v>
      </c>
      <c r="C1069" s="4" t="n">
        <v>207</v>
      </c>
      <c r="D1069" s="4" t="n">
        <v>187</v>
      </c>
      <c r="E1069" s="6" t="n">
        <v>14.6810141904684</v>
      </c>
      <c r="F1069" s="6" t="n">
        <f aca="false">D1069+E1069</f>
        <v>201.681014190468</v>
      </c>
      <c r="G1069" s="6" t="n">
        <f aca="false">F1069-C1069</f>
        <v>-5.31898580953157</v>
      </c>
      <c r="H1069" s="4" t="str">
        <f aca="false">IF(G1069&gt;2,"LATE",IF(G1069&lt;-13,"EARLY","IN"))</f>
        <v>IN</v>
      </c>
      <c r="I1069" s="4" t="n">
        <f aca="false">C1069-D1069</f>
        <v>20</v>
      </c>
    </row>
    <row r="1070" customFormat="false" ht="15" hidden="false" customHeight="false" outlineLevel="0" collapsed="false">
      <c r="A1070" s="4" t="n">
        <v>22</v>
      </c>
      <c r="B1070" s="4" t="n">
        <v>98</v>
      </c>
      <c r="C1070" s="4" t="n">
        <v>206</v>
      </c>
      <c r="D1070" s="4" t="n">
        <v>192</v>
      </c>
      <c r="E1070" s="6" t="n">
        <v>11.7029436262939</v>
      </c>
      <c r="F1070" s="6" t="n">
        <f aca="false">D1070+E1070</f>
        <v>203.702943626294</v>
      </c>
      <c r="G1070" s="6" t="n">
        <f aca="false">F1070-C1070</f>
        <v>-2.29705637370611</v>
      </c>
      <c r="H1070" s="4" t="str">
        <f aca="false">IF(G1070&gt;2,"LATE",IF(G1070&lt;-13,"EARLY","IN"))</f>
        <v>IN</v>
      </c>
      <c r="I1070" s="4" t="n">
        <f aca="false">C1070-D1070</f>
        <v>14</v>
      </c>
    </row>
    <row r="1071" customFormat="false" ht="15" hidden="false" customHeight="false" outlineLevel="0" collapsed="false">
      <c r="A1071" s="4" t="n">
        <v>22</v>
      </c>
      <c r="B1071" s="4" t="n">
        <v>103</v>
      </c>
      <c r="C1071" s="4" t="n">
        <v>243</v>
      </c>
      <c r="D1071" s="4" t="n">
        <v>230</v>
      </c>
      <c r="E1071" s="6" t="n">
        <v>9.50986642865083</v>
      </c>
      <c r="F1071" s="6" t="n">
        <f aca="false">D1071+E1071</f>
        <v>239.509866428651</v>
      </c>
      <c r="G1071" s="6" t="n">
        <f aca="false">F1071-C1071</f>
        <v>-3.49013357134916</v>
      </c>
      <c r="H1071" s="4" t="str">
        <f aca="false">IF(G1071&gt;2,"LATE",IF(G1071&lt;-13,"EARLY","IN"))</f>
        <v>IN</v>
      </c>
      <c r="I1071" s="4" t="n">
        <f aca="false">C1071-D1071</f>
        <v>13</v>
      </c>
    </row>
    <row r="1072" customFormat="false" ht="15" hidden="false" customHeight="false" outlineLevel="0" collapsed="false">
      <c r="A1072" s="4" t="n">
        <v>22</v>
      </c>
      <c r="B1072" s="4" t="n">
        <v>104</v>
      </c>
      <c r="C1072" s="4" t="n">
        <v>178</v>
      </c>
      <c r="D1072" s="4" t="n">
        <v>158</v>
      </c>
      <c r="E1072" s="6" t="n">
        <v>16.4892450544753</v>
      </c>
      <c r="F1072" s="6" t="n">
        <f aca="false">D1072+E1072</f>
        <v>174.489245054475</v>
      </c>
      <c r="G1072" s="6" t="n">
        <f aca="false">F1072-C1072</f>
        <v>-3.5107549455247</v>
      </c>
      <c r="H1072" s="4" t="str">
        <f aca="false">IF(G1072&gt;2,"LATE",IF(G1072&lt;-13,"EARLY","IN"))</f>
        <v>IN</v>
      </c>
      <c r="I1072" s="4" t="n">
        <f aca="false">C1072-D1072</f>
        <v>20</v>
      </c>
    </row>
    <row r="1073" customFormat="false" ht="15" hidden="false" customHeight="false" outlineLevel="0" collapsed="false">
      <c r="A1073" s="4" t="n">
        <v>22</v>
      </c>
      <c r="B1073" s="4" t="n">
        <v>112</v>
      </c>
      <c r="C1073" s="4" t="n">
        <v>226</v>
      </c>
      <c r="D1073" s="4" t="n">
        <v>209</v>
      </c>
      <c r="E1073" s="6" t="n">
        <v>14.8999820164698</v>
      </c>
      <c r="F1073" s="6" t="n">
        <f aca="false">D1073+E1073</f>
        <v>223.89998201647</v>
      </c>
      <c r="G1073" s="6" t="n">
        <f aca="false">F1073-C1073</f>
        <v>-2.10001798353025</v>
      </c>
      <c r="H1073" s="4" t="str">
        <f aca="false">IF(G1073&gt;2,"LATE",IF(G1073&lt;-13,"EARLY","IN"))</f>
        <v>IN</v>
      </c>
      <c r="I1073" s="4" t="n">
        <f aca="false">C1073-D1073</f>
        <v>17</v>
      </c>
    </row>
    <row r="1074" customFormat="false" ht="15" hidden="false" customHeight="false" outlineLevel="0" collapsed="false">
      <c r="A1074" s="4" t="n">
        <v>22</v>
      </c>
      <c r="B1074" s="4" t="n">
        <v>114</v>
      </c>
      <c r="C1074" s="4" t="n">
        <v>197</v>
      </c>
      <c r="D1074" s="4" t="n">
        <v>177</v>
      </c>
      <c r="E1074" s="6" t="n">
        <v>14.6499694734094</v>
      </c>
      <c r="F1074" s="6" t="n">
        <f aca="false">D1074+E1074</f>
        <v>191.649969473409</v>
      </c>
      <c r="G1074" s="6" t="n">
        <f aca="false">F1074-C1074</f>
        <v>-5.35003052659056</v>
      </c>
      <c r="H1074" s="4" t="str">
        <f aca="false">IF(G1074&gt;2,"LATE",IF(G1074&lt;-13,"EARLY","IN"))</f>
        <v>IN</v>
      </c>
      <c r="I1074" s="4" t="n">
        <f aca="false">C1074-D1074</f>
        <v>20</v>
      </c>
    </row>
    <row r="1075" customFormat="false" ht="15" hidden="false" customHeight="false" outlineLevel="0" collapsed="false">
      <c r="A1075" s="4" t="n">
        <v>22</v>
      </c>
      <c r="B1075" s="4" t="n">
        <v>124</v>
      </c>
      <c r="C1075" s="4" t="n">
        <v>197</v>
      </c>
      <c r="D1075" s="4" t="n">
        <v>183</v>
      </c>
      <c r="E1075" s="6" t="n">
        <v>13.2018428592273</v>
      </c>
      <c r="F1075" s="6" t="n">
        <f aca="false">D1075+E1075</f>
        <v>196.201842859227</v>
      </c>
      <c r="G1075" s="6" t="n">
        <f aca="false">F1075-C1075</f>
        <v>-0.798157140772673</v>
      </c>
      <c r="H1075" s="4" t="str">
        <f aca="false">IF(G1075&gt;2,"LATE",IF(G1075&lt;-13,"EARLY","IN"))</f>
        <v>IN</v>
      </c>
      <c r="I1075" s="4" t="n">
        <f aca="false">C1075-D1075</f>
        <v>14</v>
      </c>
    </row>
    <row r="1076" customFormat="false" ht="15" hidden="false" customHeight="false" outlineLevel="0" collapsed="false">
      <c r="A1076" s="4" t="n">
        <v>22</v>
      </c>
      <c r="B1076" s="4" t="n">
        <v>134</v>
      </c>
      <c r="C1076" s="4" t="n">
        <v>173</v>
      </c>
      <c r="D1076" s="4" t="n">
        <v>152</v>
      </c>
      <c r="E1076" s="6" t="n">
        <v>14.6603502373144</v>
      </c>
      <c r="F1076" s="6" t="n">
        <f aca="false">D1076+E1076</f>
        <v>166.660350237314</v>
      </c>
      <c r="G1076" s="6" t="n">
        <f aca="false">F1076-C1076</f>
        <v>-6.33964976268561</v>
      </c>
      <c r="H1076" s="4" t="str">
        <f aca="false">IF(G1076&gt;2,"LATE",IF(G1076&lt;-13,"EARLY","IN"))</f>
        <v>IN</v>
      </c>
      <c r="I1076" s="4" t="n">
        <f aca="false">C1076-D1076</f>
        <v>21</v>
      </c>
    </row>
    <row r="1077" customFormat="false" ht="15" hidden="false" customHeight="false" outlineLevel="0" collapsed="false">
      <c r="A1077" s="4" t="n">
        <v>22</v>
      </c>
      <c r="B1077" s="4" t="n">
        <v>138</v>
      </c>
      <c r="C1077" s="4" t="n">
        <v>181</v>
      </c>
      <c r="D1077" s="4" t="n">
        <v>169</v>
      </c>
      <c r="E1077" s="6" t="n">
        <v>12.7192990285928</v>
      </c>
      <c r="F1077" s="6" t="n">
        <f aca="false">D1077+E1077</f>
        <v>181.719299028593</v>
      </c>
      <c r="G1077" s="6" t="n">
        <f aca="false">F1077-C1077</f>
        <v>0.719299028592815</v>
      </c>
      <c r="H1077" s="4" t="str">
        <f aca="false">IF(G1077&gt;2,"LATE",IF(G1077&lt;-13,"EARLY","IN"))</f>
        <v>IN</v>
      </c>
      <c r="I1077" s="4" t="n">
        <f aca="false">C1077-D1077</f>
        <v>12</v>
      </c>
    </row>
    <row r="1078" customFormat="false" ht="15" hidden="false" customHeight="false" outlineLevel="0" collapsed="false">
      <c r="A1078" s="4" t="n">
        <v>22</v>
      </c>
      <c r="B1078" s="4" t="n">
        <v>142</v>
      </c>
      <c r="C1078" s="4" t="n">
        <v>215</v>
      </c>
      <c r="D1078" s="4" t="n">
        <v>199</v>
      </c>
      <c r="E1078" s="6" t="n">
        <v>13.1909412059346</v>
      </c>
      <c r="F1078" s="6" t="n">
        <f aca="false">D1078+E1078</f>
        <v>212.190941205935</v>
      </c>
      <c r="G1078" s="6" t="n">
        <f aca="false">F1078-C1078</f>
        <v>-2.80905879406535</v>
      </c>
      <c r="H1078" s="4" t="str">
        <f aca="false">IF(G1078&gt;2,"LATE",IF(G1078&lt;-13,"EARLY","IN"))</f>
        <v>IN</v>
      </c>
      <c r="I1078" s="4" t="n">
        <f aca="false">C1078-D1078</f>
        <v>16</v>
      </c>
    </row>
    <row r="1079" customFormat="false" ht="15" hidden="false" customHeight="false" outlineLevel="0" collapsed="false">
      <c r="A1079" s="4" t="n">
        <v>22</v>
      </c>
      <c r="B1079" s="4" t="n">
        <v>143</v>
      </c>
      <c r="C1079" s="4" t="n">
        <v>149</v>
      </c>
      <c r="D1079" s="4" t="n">
        <v>141</v>
      </c>
      <c r="E1079" s="6" t="n">
        <v>12.0601954480774</v>
      </c>
      <c r="F1079" s="6" t="n">
        <f aca="false">D1079+E1079</f>
        <v>153.060195448077</v>
      </c>
      <c r="G1079" s="6" t="n">
        <f aca="false">F1079-C1079</f>
        <v>4.06019544807742</v>
      </c>
      <c r="H1079" s="4" t="str">
        <f aca="false">IF(G1079&gt;2,"LATE",IF(G1079&lt;-13,"EARLY","IN"))</f>
        <v>LATE</v>
      </c>
      <c r="I1079" s="4" t="n">
        <f aca="false">C1079-D1079</f>
        <v>8</v>
      </c>
    </row>
    <row r="1080" customFormat="false" ht="15" hidden="false" customHeight="false" outlineLevel="0" collapsed="false">
      <c r="A1080" s="4" t="n">
        <v>22</v>
      </c>
      <c r="B1080" s="4" t="n">
        <v>144</v>
      </c>
      <c r="C1080" s="4" t="n">
        <v>272</v>
      </c>
      <c r="D1080" s="4" t="n">
        <v>253</v>
      </c>
      <c r="E1080" s="6" t="n">
        <v>16.4332637363599</v>
      </c>
      <c r="F1080" s="6" t="n">
        <f aca="false">D1080+E1080</f>
        <v>269.43326373636</v>
      </c>
      <c r="G1080" s="6" t="n">
        <f aca="false">F1080-C1080</f>
        <v>-2.56673626364005</v>
      </c>
      <c r="H1080" s="4" t="str">
        <f aca="false">IF(G1080&gt;2,"LATE",IF(G1080&lt;-13,"EARLY","IN"))</f>
        <v>IN</v>
      </c>
      <c r="I1080" s="4" t="n">
        <f aca="false">C1080-D1080</f>
        <v>19</v>
      </c>
    </row>
    <row r="1081" customFormat="false" ht="15" hidden="false" customHeight="false" outlineLevel="0" collapsed="false">
      <c r="A1081" s="4" t="n">
        <v>22</v>
      </c>
      <c r="B1081" s="4" t="n">
        <v>146</v>
      </c>
      <c r="C1081" s="4" t="n">
        <v>231</v>
      </c>
      <c r="D1081" s="4" t="n">
        <v>210</v>
      </c>
      <c r="E1081" s="6" t="n">
        <v>18.250929879499</v>
      </c>
      <c r="F1081" s="6" t="n">
        <f aca="false">D1081+E1081</f>
        <v>228.250929879499</v>
      </c>
      <c r="G1081" s="6" t="n">
        <f aca="false">F1081-C1081</f>
        <v>-2.74907012050096</v>
      </c>
      <c r="H1081" s="4" t="str">
        <f aca="false">IF(G1081&gt;2,"LATE",IF(G1081&lt;-13,"EARLY","IN"))</f>
        <v>IN</v>
      </c>
      <c r="I1081" s="4" t="n">
        <f aca="false">C1081-D1081</f>
        <v>21</v>
      </c>
    </row>
    <row r="1082" customFormat="false" ht="15" hidden="false" customHeight="false" outlineLevel="0" collapsed="false">
      <c r="A1082" s="4" t="n">
        <v>22</v>
      </c>
      <c r="B1082" s="4" t="n">
        <v>148</v>
      </c>
      <c r="C1082" s="4" t="n">
        <v>264</v>
      </c>
      <c r="D1082" s="4" t="n">
        <v>237</v>
      </c>
      <c r="E1082" s="6" t="n">
        <v>16.0923080473678</v>
      </c>
      <c r="F1082" s="6" t="n">
        <f aca="false">D1082+E1082</f>
        <v>253.092308047368</v>
      </c>
      <c r="G1082" s="6" t="n">
        <f aca="false">F1082-C1082</f>
        <v>-10.9076919526322</v>
      </c>
      <c r="H1082" s="4" t="str">
        <f aca="false">IF(G1082&gt;2,"LATE",IF(G1082&lt;-13,"EARLY","IN"))</f>
        <v>IN</v>
      </c>
      <c r="I1082" s="4" t="n">
        <f aca="false">C1082-D1082</f>
        <v>27</v>
      </c>
    </row>
    <row r="1083" customFormat="false" ht="15" hidden="false" customHeight="false" outlineLevel="0" collapsed="false">
      <c r="A1083" s="4" t="n">
        <v>22</v>
      </c>
      <c r="B1083" s="4" t="n">
        <v>149</v>
      </c>
      <c r="C1083" s="4" t="n">
        <v>192</v>
      </c>
      <c r="D1083" s="4" t="n">
        <v>170</v>
      </c>
      <c r="E1083" s="6" t="n">
        <v>18.1902821199615</v>
      </c>
      <c r="F1083" s="6" t="n">
        <f aca="false">D1083+E1083</f>
        <v>188.190282119962</v>
      </c>
      <c r="G1083" s="6" t="n">
        <f aca="false">F1083-C1083</f>
        <v>-3.80971788003848</v>
      </c>
      <c r="H1083" s="4" t="str">
        <f aca="false">IF(G1083&gt;2,"LATE",IF(G1083&lt;-13,"EARLY","IN"))</f>
        <v>IN</v>
      </c>
      <c r="I1083" s="4" t="n">
        <f aca="false">C1083-D1083</f>
        <v>22</v>
      </c>
    </row>
    <row r="1084" customFormat="false" ht="15" hidden="false" customHeight="false" outlineLevel="0" collapsed="false">
      <c r="A1084" s="4" t="n">
        <v>22</v>
      </c>
      <c r="B1084" s="4" t="n">
        <v>153</v>
      </c>
      <c r="C1084" s="4" t="n">
        <v>277</v>
      </c>
      <c r="D1084" s="4" t="n">
        <v>239</v>
      </c>
      <c r="E1084" s="6" t="n">
        <v>15.6945787512538</v>
      </c>
      <c r="F1084" s="6" t="n">
        <f aca="false">D1084+E1084</f>
        <v>254.694578751254</v>
      </c>
      <c r="G1084" s="6" t="n">
        <f aca="false">F1084-C1084</f>
        <v>-22.3054212487462</v>
      </c>
      <c r="H1084" s="4" t="str">
        <f aca="false">IF(G1084&gt;2,"LATE",IF(G1084&lt;-13,"EARLY","IN"))</f>
        <v>EARLY</v>
      </c>
      <c r="I1084" s="4" t="n">
        <f aca="false">C1084-D1084</f>
        <v>38</v>
      </c>
    </row>
    <row r="1085" customFormat="false" ht="15" hidden="false" customHeight="false" outlineLevel="0" collapsed="false">
      <c r="A1085" s="4" t="n">
        <v>22</v>
      </c>
      <c r="B1085" s="4" t="n">
        <v>158</v>
      </c>
      <c r="C1085" s="4" t="n">
        <v>167</v>
      </c>
      <c r="D1085" s="4" t="n">
        <v>150</v>
      </c>
      <c r="E1085" s="6" t="n">
        <v>12.3801902631787</v>
      </c>
      <c r="F1085" s="6" t="n">
        <f aca="false">D1085+E1085</f>
        <v>162.380190263179</v>
      </c>
      <c r="G1085" s="6" t="n">
        <f aca="false">F1085-C1085</f>
        <v>-4.61980973682128</v>
      </c>
      <c r="H1085" s="4" t="str">
        <f aca="false">IF(G1085&gt;2,"LATE",IF(G1085&lt;-13,"EARLY","IN"))</f>
        <v>IN</v>
      </c>
      <c r="I1085" s="4" t="n">
        <f aca="false">C1085-D1085</f>
        <v>17</v>
      </c>
    </row>
    <row r="1086" customFormat="false" ht="15" hidden="false" customHeight="false" outlineLevel="0" collapsed="false">
      <c r="A1086" s="4" t="n">
        <v>22</v>
      </c>
      <c r="B1086" s="4" t="n">
        <v>161</v>
      </c>
      <c r="C1086" s="4" t="n">
        <v>184</v>
      </c>
      <c r="D1086" s="4" t="n">
        <v>168</v>
      </c>
      <c r="E1086" s="6" t="n">
        <v>13.5493779965923</v>
      </c>
      <c r="F1086" s="6" t="n">
        <f aca="false">D1086+E1086</f>
        <v>181.549377996592</v>
      </c>
      <c r="G1086" s="6" t="n">
        <f aca="false">F1086-C1086</f>
        <v>-2.45062200340774</v>
      </c>
      <c r="H1086" s="4" t="str">
        <f aca="false">IF(G1086&gt;2,"LATE",IF(G1086&lt;-13,"EARLY","IN"))</f>
        <v>IN</v>
      </c>
      <c r="I1086" s="4" t="n">
        <f aca="false">C1086-D1086</f>
        <v>16</v>
      </c>
    </row>
    <row r="1087" customFormat="false" ht="15" hidden="false" customHeight="false" outlineLevel="0" collapsed="false">
      <c r="A1087" s="4" t="n">
        <v>22</v>
      </c>
      <c r="B1087" s="4" t="n">
        <v>162</v>
      </c>
      <c r="C1087" s="4" t="n">
        <v>202</v>
      </c>
      <c r="D1087" s="4" t="n">
        <v>186</v>
      </c>
      <c r="E1087" s="6" t="n">
        <v>13.7966015557483</v>
      </c>
      <c r="F1087" s="6" t="n">
        <f aca="false">D1087+E1087</f>
        <v>199.796601555748</v>
      </c>
      <c r="G1087" s="6" t="n">
        <f aca="false">F1087-C1087</f>
        <v>-2.20339844425172</v>
      </c>
      <c r="H1087" s="4" t="str">
        <f aca="false">IF(G1087&gt;2,"LATE",IF(G1087&lt;-13,"EARLY","IN"))</f>
        <v>IN</v>
      </c>
      <c r="I1087" s="4" t="n">
        <f aca="false">C1087-D1087</f>
        <v>16</v>
      </c>
    </row>
    <row r="1088" customFormat="false" ht="15" hidden="false" customHeight="false" outlineLevel="0" collapsed="false">
      <c r="A1088" s="4" t="n">
        <v>22</v>
      </c>
      <c r="B1088" s="4" t="n">
        <v>168</v>
      </c>
      <c r="C1088" s="4" t="n">
        <v>253</v>
      </c>
      <c r="D1088" s="4" t="n">
        <v>225</v>
      </c>
      <c r="E1088" s="6" t="n">
        <v>14.9418938591617</v>
      </c>
      <c r="F1088" s="6" t="n">
        <f aca="false">D1088+E1088</f>
        <v>239.941893859162</v>
      </c>
      <c r="G1088" s="6" t="n">
        <f aca="false">F1088-C1088</f>
        <v>-13.0581061408383</v>
      </c>
      <c r="H1088" s="4" t="str">
        <f aca="false">IF(G1088&gt;2,"LATE",IF(G1088&lt;-13,"EARLY","IN"))</f>
        <v>EARLY</v>
      </c>
      <c r="I1088" s="4" t="n">
        <f aca="false">C1088-D1088</f>
        <v>28</v>
      </c>
    </row>
    <row r="1089" customFormat="false" ht="15" hidden="false" customHeight="false" outlineLevel="0" collapsed="false">
      <c r="A1089" s="4" t="n">
        <v>22</v>
      </c>
      <c r="B1089" s="4" t="n">
        <v>169</v>
      </c>
      <c r="C1089" s="4" t="n">
        <v>218</v>
      </c>
      <c r="D1089" s="4" t="n">
        <v>201</v>
      </c>
      <c r="E1089" s="6" t="n">
        <v>14.5742223704489</v>
      </c>
      <c r="F1089" s="6" t="n">
        <f aca="false">D1089+E1089</f>
        <v>215.574222370449</v>
      </c>
      <c r="G1089" s="6" t="n">
        <f aca="false">F1089-C1089</f>
        <v>-2.42577762955114</v>
      </c>
      <c r="H1089" s="4" t="str">
        <f aca="false">IF(G1089&gt;2,"LATE",IF(G1089&lt;-13,"EARLY","IN"))</f>
        <v>IN</v>
      </c>
      <c r="I1089" s="4" t="n">
        <f aca="false">C1089-D1089</f>
        <v>17</v>
      </c>
    </row>
    <row r="1090" customFormat="false" ht="15" hidden="false" customHeight="false" outlineLevel="0" collapsed="false">
      <c r="A1090" s="4" t="n">
        <v>22</v>
      </c>
      <c r="B1090" s="4" t="n">
        <v>172</v>
      </c>
      <c r="C1090" s="4" t="n">
        <v>222</v>
      </c>
      <c r="D1090" s="4" t="n">
        <v>205</v>
      </c>
      <c r="E1090" s="6" t="n">
        <v>17.2976062203177</v>
      </c>
      <c r="F1090" s="6" t="n">
        <f aca="false">D1090+E1090</f>
        <v>222.297606220318</v>
      </c>
      <c r="G1090" s="6" t="n">
        <f aca="false">F1090-C1090</f>
        <v>0.297606220317675</v>
      </c>
      <c r="H1090" s="4" t="str">
        <f aca="false">IF(G1090&gt;2,"LATE",IF(G1090&lt;-13,"EARLY","IN"))</f>
        <v>IN</v>
      </c>
      <c r="I1090" s="4" t="n">
        <f aca="false">C1090-D1090</f>
        <v>17</v>
      </c>
    </row>
    <row r="1091" customFormat="false" ht="15" hidden="false" customHeight="false" outlineLevel="0" collapsed="false">
      <c r="A1091" s="4" t="n">
        <v>22</v>
      </c>
      <c r="B1091" s="4" t="n">
        <v>173</v>
      </c>
      <c r="C1091" s="4" t="n">
        <v>190</v>
      </c>
      <c r="D1091" s="4" t="n">
        <v>175</v>
      </c>
      <c r="E1091" s="6" t="n">
        <v>13.2694338401295</v>
      </c>
      <c r="F1091" s="6" t="n">
        <f aca="false">D1091+E1091</f>
        <v>188.269433840129</v>
      </c>
      <c r="G1091" s="6" t="n">
        <f aca="false">F1091-C1091</f>
        <v>-1.73056615987053</v>
      </c>
      <c r="H1091" s="4" t="str">
        <f aca="false">IF(G1091&gt;2,"LATE",IF(G1091&lt;-13,"EARLY","IN"))</f>
        <v>IN</v>
      </c>
      <c r="I1091" s="4" t="n">
        <f aca="false">C1091-D1091</f>
        <v>15</v>
      </c>
    </row>
    <row r="1092" customFormat="false" ht="15" hidden="false" customHeight="false" outlineLevel="0" collapsed="false">
      <c r="A1092" s="4" t="n">
        <v>22</v>
      </c>
      <c r="B1092" s="4" t="n">
        <v>194</v>
      </c>
      <c r="C1092" s="4" t="n">
        <v>246</v>
      </c>
      <c r="D1092" s="4" t="n">
        <v>216</v>
      </c>
      <c r="E1092" s="6" t="n">
        <v>17.6573384268891</v>
      </c>
      <c r="F1092" s="6" t="n">
        <f aca="false">D1092+E1092</f>
        <v>233.657338426889</v>
      </c>
      <c r="G1092" s="6" t="n">
        <f aca="false">F1092-C1092</f>
        <v>-12.3426615731109</v>
      </c>
      <c r="H1092" s="4" t="str">
        <f aca="false">IF(G1092&gt;2,"LATE",IF(G1092&lt;-13,"EARLY","IN"))</f>
        <v>IN</v>
      </c>
      <c r="I1092" s="4" t="n">
        <f aca="false">C1092-D1092</f>
        <v>30</v>
      </c>
    </row>
    <row r="1093" customFormat="false" ht="15" hidden="false" customHeight="false" outlineLevel="0" collapsed="false">
      <c r="A1093" s="4" t="n">
        <v>22</v>
      </c>
      <c r="B1093" s="4" t="n">
        <v>197</v>
      </c>
      <c r="C1093" s="4" t="n">
        <v>157</v>
      </c>
      <c r="D1093" s="4" t="n">
        <v>139</v>
      </c>
      <c r="E1093" s="6" t="n">
        <v>14.6029024360155</v>
      </c>
      <c r="F1093" s="6" t="n">
        <f aca="false">D1093+E1093</f>
        <v>153.602902436016</v>
      </c>
      <c r="G1093" s="6" t="n">
        <f aca="false">F1093-C1093</f>
        <v>-3.39709756398446</v>
      </c>
      <c r="H1093" s="4" t="str">
        <f aca="false">IF(G1093&gt;2,"LATE",IF(G1093&lt;-13,"EARLY","IN"))</f>
        <v>IN</v>
      </c>
      <c r="I1093" s="4" t="n">
        <f aca="false">C1093-D1093</f>
        <v>18</v>
      </c>
    </row>
    <row r="1094" customFormat="false" ht="15" hidden="false" customHeight="false" outlineLevel="0" collapsed="false">
      <c r="A1094" s="4" t="n">
        <v>22</v>
      </c>
      <c r="B1094" s="4" t="n">
        <v>198</v>
      </c>
      <c r="C1094" s="4" t="n">
        <v>137</v>
      </c>
      <c r="D1094" s="4" t="n">
        <v>116</v>
      </c>
      <c r="E1094" s="6" t="n">
        <v>13.0307629989491</v>
      </c>
      <c r="F1094" s="6" t="n">
        <f aca="false">D1094+E1094</f>
        <v>129.030762998949</v>
      </c>
      <c r="G1094" s="6" t="n">
        <f aca="false">F1094-C1094</f>
        <v>-7.96923700105091</v>
      </c>
      <c r="H1094" s="4" t="str">
        <f aca="false">IF(G1094&gt;2,"LATE",IF(G1094&lt;-13,"EARLY","IN"))</f>
        <v>IN</v>
      </c>
      <c r="I1094" s="4" t="n">
        <f aca="false">C1094-D1094</f>
        <v>21</v>
      </c>
    </row>
    <row r="1095" customFormat="false" ht="15" hidden="false" customHeight="false" outlineLevel="0" collapsed="false">
      <c r="A1095" s="4" t="n">
        <v>22</v>
      </c>
      <c r="B1095" s="4" t="n">
        <v>203</v>
      </c>
      <c r="C1095" s="4" t="n">
        <v>225</v>
      </c>
      <c r="D1095" s="4" t="n">
        <v>207</v>
      </c>
      <c r="E1095" s="6" t="n">
        <v>12.0438979920499</v>
      </c>
      <c r="F1095" s="6" t="n">
        <f aca="false">D1095+E1095</f>
        <v>219.04389799205</v>
      </c>
      <c r="G1095" s="6" t="n">
        <f aca="false">F1095-C1095</f>
        <v>-5.95610200795008</v>
      </c>
      <c r="H1095" s="4" t="str">
        <f aca="false">IF(G1095&gt;2,"LATE",IF(G1095&lt;-13,"EARLY","IN"))</f>
        <v>IN</v>
      </c>
      <c r="I1095" s="4" t="n">
        <f aca="false">C1095-D1095</f>
        <v>18</v>
      </c>
    </row>
    <row r="1096" customFormat="false" ht="15" hidden="false" customHeight="false" outlineLevel="0" collapsed="false">
      <c r="A1096" s="4" t="n">
        <v>22</v>
      </c>
      <c r="B1096" s="4" t="n">
        <v>207</v>
      </c>
      <c r="C1096" s="4" t="n">
        <v>278</v>
      </c>
      <c r="D1096" s="4" t="n">
        <v>261</v>
      </c>
      <c r="E1096" s="6" t="n">
        <v>12.9165398375748</v>
      </c>
      <c r="F1096" s="6" t="n">
        <f aca="false">D1096+E1096</f>
        <v>273.916539837575</v>
      </c>
      <c r="G1096" s="6" t="n">
        <f aca="false">F1096-C1096</f>
        <v>-4.08346016242524</v>
      </c>
      <c r="H1096" s="4" t="str">
        <f aca="false">IF(G1096&gt;2,"LATE",IF(G1096&lt;-13,"EARLY","IN"))</f>
        <v>IN</v>
      </c>
      <c r="I1096" s="4" t="n">
        <f aca="false">C1096-D1096</f>
        <v>17</v>
      </c>
    </row>
    <row r="1097" customFormat="false" ht="15" hidden="false" customHeight="false" outlineLevel="0" collapsed="false">
      <c r="A1097" s="4" t="n">
        <v>22</v>
      </c>
      <c r="B1097" s="4" t="n">
        <v>210</v>
      </c>
      <c r="C1097" s="4" t="n">
        <v>233</v>
      </c>
      <c r="D1097" s="4" t="n">
        <v>209</v>
      </c>
      <c r="E1097" s="6" t="n">
        <v>13.9214691048107</v>
      </c>
      <c r="F1097" s="6" t="n">
        <f aca="false">D1097+E1097</f>
        <v>222.921469104811</v>
      </c>
      <c r="G1097" s="6" t="n">
        <f aca="false">F1097-C1097</f>
        <v>-10.0785308951893</v>
      </c>
      <c r="H1097" s="4" t="str">
        <f aca="false">IF(G1097&gt;2,"LATE",IF(G1097&lt;-13,"EARLY","IN"))</f>
        <v>IN</v>
      </c>
      <c r="I1097" s="4" t="n">
        <f aca="false">C1097-D1097</f>
        <v>24</v>
      </c>
    </row>
    <row r="1098" customFormat="false" ht="15" hidden="false" customHeight="false" outlineLevel="0" collapsed="false">
      <c r="A1098" s="4" t="n">
        <v>22</v>
      </c>
      <c r="B1098" s="4" t="n">
        <v>214</v>
      </c>
      <c r="C1098" s="4" t="n">
        <v>150</v>
      </c>
      <c r="D1098" s="4" t="n">
        <v>136</v>
      </c>
      <c r="E1098" s="6" t="n">
        <v>10.6862517833486</v>
      </c>
      <c r="F1098" s="6" t="n">
        <f aca="false">D1098+E1098</f>
        <v>146.686251783349</v>
      </c>
      <c r="G1098" s="6" t="n">
        <f aca="false">F1098-C1098</f>
        <v>-3.31374821665139</v>
      </c>
      <c r="H1098" s="4" t="str">
        <f aca="false">IF(G1098&gt;2,"LATE",IF(G1098&lt;-13,"EARLY","IN"))</f>
        <v>IN</v>
      </c>
      <c r="I1098" s="4" t="n">
        <f aca="false">C1098-D1098</f>
        <v>14</v>
      </c>
    </row>
    <row r="1099" customFormat="false" ht="15" hidden="false" customHeight="false" outlineLevel="0" collapsed="false">
      <c r="A1099" s="4" t="n">
        <v>22</v>
      </c>
      <c r="B1099" s="4" t="n">
        <v>215</v>
      </c>
      <c r="C1099" s="4" t="n">
        <v>156</v>
      </c>
      <c r="D1099" s="4" t="n">
        <v>145</v>
      </c>
      <c r="E1099" s="6" t="n">
        <v>9.832283911968</v>
      </c>
      <c r="F1099" s="6" t="n">
        <f aca="false">D1099+E1099</f>
        <v>154.832283911968</v>
      </c>
      <c r="G1099" s="6" t="n">
        <f aca="false">F1099-C1099</f>
        <v>-1.16771608803199</v>
      </c>
      <c r="H1099" s="4" t="str">
        <f aca="false">IF(G1099&gt;2,"LATE",IF(G1099&lt;-13,"EARLY","IN"))</f>
        <v>IN</v>
      </c>
      <c r="I1099" s="4" t="n">
        <f aca="false">C1099-D1099</f>
        <v>11</v>
      </c>
    </row>
    <row r="1100" customFormat="false" ht="15" hidden="false" customHeight="false" outlineLevel="0" collapsed="false">
      <c r="A1100" s="4" t="n">
        <v>22</v>
      </c>
      <c r="B1100" s="4" t="n">
        <v>216</v>
      </c>
      <c r="C1100" s="4" t="n">
        <v>190</v>
      </c>
      <c r="D1100" s="4" t="n">
        <v>177</v>
      </c>
      <c r="E1100" s="6" t="n">
        <v>10.711882417781</v>
      </c>
      <c r="F1100" s="6" t="n">
        <f aca="false">D1100+E1100</f>
        <v>187.711882417781</v>
      </c>
      <c r="G1100" s="6" t="n">
        <f aca="false">F1100-C1100</f>
        <v>-2.288117582219</v>
      </c>
      <c r="H1100" s="4" t="str">
        <f aca="false">IF(G1100&gt;2,"LATE",IF(G1100&lt;-13,"EARLY","IN"))</f>
        <v>IN</v>
      </c>
      <c r="I1100" s="4" t="n">
        <f aca="false">C1100-D1100</f>
        <v>13</v>
      </c>
    </row>
    <row r="1101" customFormat="false" ht="15" hidden="false" customHeight="false" outlineLevel="0" collapsed="false">
      <c r="A1101" s="4" t="n">
        <v>22</v>
      </c>
      <c r="B1101" s="4" t="n">
        <v>217</v>
      </c>
      <c r="C1101" s="4" t="n">
        <v>287</v>
      </c>
      <c r="D1101" s="4" t="n">
        <v>257</v>
      </c>
      <c r="E1101" s="6" t="n">
        <v>15.5169181937105</v>
      </c>
      <c r="F1101" s="6" t="n">
        <f aca="false">D1101+E1101</f>
        <v>272.516918193711</v>
      </c>
      <c r="G1101" s="6" t="n">
        <f aca="false">F1101-C1101</f>
        <v>-14.4830818062895</v>
      </c>
      <c r="H1101" s="4" t="str">
        <f aca="false">IF(G1101&gt;2,"LATE",IF(G1101&lt;-13,"EARLY","IN"))</f>
        <v>EARLY</v>
      </c>
      <c r="I1101" s="4" t="n">
        <f aca="false">C1101-D1101</f>
        <v>30</v>
      </c>
    </row>
    <row r="1102" customFormat="false" ht="15" hidden="false" customHeight="false" outlineLevel="0" collapsed="false">
      <c r="A1102" s="4" t="n">
        <v>23</v>
      </c>
      <c r="B1102" s="4" t="n">
        <v>1</v>
      </c>
      <c r="C1102" s="4" t="n">
        <v>223</v>
      </c>
      <c r="D1102" s="4" t="n">
        <v>202</v>
      </c>
      <c r="E1102" s="6" t="n">
        <v>12.6556459560985</v>
      </c>
      <c r="F1102" s="6" t="n">
        <f aca="false">D1102+E1102</f>
        <v>214.655645956098</v>
      </c>
      <c r="G1102" s="6" t="n">
        <f aca="false">F1102-C1102</f>
        <v>-8.34435404390152</v>
      </c>
      <c r="H1102" s="4" t="str">
        <f aca="false">IF(G1102&gt;2,"LATE",IF(G1102&lt;-13,"EARLY","IN"))</f>
        <v>IN</v>
      </c>
      <c r="I1102" s="4" t="n">
        <f aca="false">C1102-D1102</f>
        <v>21</v>
      </c>
    </row>
    <row r="1103" customFormat="false" ht="15" hidden="false" customHeight="false" outlineLevel="0" collapsed="false">
      <c r="A1103" s="4" t="n">
        <v>23</v>
      </c>
      <c r="B1103" s="4" t="n">
        <v>2</v>
      </c>
      <c r="C1103" s="4" t="n">
        <v>164</v>
      </c>
      <c r="D1103" s="4" t="n">
        <v>145</v>
      </c>
      <c r="E1103" s="6" t="n">
        <v>12.8673026318899</v>
      </c>
      <c r="F1103" s="6" t="n">
        <f aca="false">D1103+E1103</f>
        <v>157.86730263189</v>
      </c>
      <c r="G1103" s="6" t="n">
        <f aca="false">F1103-C1103</f>
        <v>-6.13269736811009</v>
      </c>
      <c r="H1103" s="4" t="str">
        <f aca="false">IF(G1103&gt;2,"LATE",IF(G1103&lt;-13,"EARLY","IN"))</f>
        <v>IN</v>
      </c>
      <c r="I1103" s="4" t="n">
        <f aca="false">C1103-D1103</f>
        <v>19</v>
      </c>
    </row>
    <row r="1104" customFormat="false" ht="15" hidden="false" customHeight="false" outlineLevel="0" collapsed="false">
      <c r="A1104" s="4" t="n">
        <v>23</v>
      </c>
      <c r="B1104" s="4" t="n">
        <v>11</v>
      </c>
      <c r="C1104" s="4" t="n">
        <v>210</v>
      </c>
      <c r="D1104" s="4" t="n">
        <v>184</v>
      </c>
      <c r="E1104" s="6" t="n">
        <v>18.5222674888604</v>
      </c>
      <c r="F1104" s="6" t="n">
        <f aca="false">D1104+E1104</f>
        <v>202.52226748886</v>
      </c>
      <c r="G1104" s="6" t="n">
        <f aca="false">F1104-C1104</f>
        <v>-7.47773251113955</v>
      </c>
      <c r="H1104" s="4" t="str">
        <f aca="false">IF(G1104&gt;2,"LATE",IF(G1104&lt;-13,"EARLY","IN"))</f>
        <v>IN</v>
      </c>
      <c r="I1104" s="4" t="n">
        <f aca="false">C1104-D1104</f>
        <v>26</v>
      </c>
    </row>
    <row r="1105" customFormat="false" ht="15" hidden="false" customHeight="false" outlineLevel="0" collapsed="false">
      <c r="A1105" s="4" t="n">
        <v>23</v>
      </c>
      <c r="B1105" s="4" t="n">
        <v>13</v>
      </c>
      <c r="C1105" s="4" t="n">
        <v>210</v>
      </c>
      <c r="D1105" s="4" t="n">
        <v>189</v>
      </c>
      <c r="E1105" s="6" t="n">
        <v>13.5499668737545</v>
      </c>
      <c r="F1105" s="6" t="n">
        <f aca="false">D1105+E1105</f>
        <v>202.549966873755</v>
      </c>
      <c r="G1105" s="6" t="n">
        <f aca="false">F1105-C1105</f>
        <v>-7.45003312624547</v>
      </c>
      <c r="H1105" s="4" t="str">
        <f aca="false">IF(G1105&gt;2,"LATE",IF(G1105&lt;-13,"EARLY","IN"))</f>
        <v>IN</v>
      </c>
      <c r="I1105" s="4" t="n">
        <f aca="false">C1105-D1105</f>
        <v>21</v>
      </c>
    </row>
    <row r="1106" customFormat="false" ht="15" hidden="false" customHeight="false" outlineLevel="0" collapsed="false">
      <c r="A1106" s="4" t="n">
        <v>23</v>
      </c>
      <c r="B1106" s="4" t="n">
        <v>16</v>
      </c>
      <c r="C1106" s="4" t="n">
        <v>172</v>
      </c>
      <c r="D1106" s="4" t="n">
        <v>155</v>
      </c>
      <c r="E1106" s="6" t="n">
        <v>15.5127135869704</v>
      </c>
      <c r="F1106" s="6" t="n">
        <f aca="false">D1106+E1106</f>
        <v>170.51271358697</v>
      </c>
      <c r="G1106" s="6" t="n">
        <f aca="false">F1106-C1106</f>
        <v>-1.48728641302966</v>
      </c>
      <c r="H1106" s="4" t="str">
        <f aca="false">IF(G1106&gt;2,"LATE",IF(G1106&lt;-13,"EARLY","IN"))</f>
        <v>IN</v>
      </c>
      <c r="I1106" s="4" t="n">
        <f aca="false">C1106-D1106</f>
        <v>17</v>
      </c>
    </row>
    <row r="1107" customFormat="false" ht="15" hidden="false" customHeight="false" outlineLevel="0" collapsed="false">
      <c r="A1107" s="4" t="n">
        <v>23</v>
      </c>
      <c r="B1107" s="4" t="n">
        <v>27</v>
      </c>
      <c r="C1107" s="4" t="n">
        <v>178</v>
      </c>
      <c r="D1107" s="4" t="n">
        <v>162</v>
      </c>
      <c r="E1107" s="6" t="n">
        <v>16.9323899280304</v>
      </c>
      <c r="F1107" s="6" t="n">
        <f aca="false">D1107+E1107</f>
        <v>178.93238992803</v>
      </c>
      <c r="G1107" s="6" t="n">
        <f aca="false">F1107-C1107</f>
        <v>0.932389928030375</v>
      </c>
      <c r="H1107" s="4" t="str">
        <f aca="false">IF(G1107&gt;2,"LATE",IF(G1107&lt;-13,"EARLY","IN"))</f>
        <v>IN</v>
      </c>
      <c r="I1107" s="4" t="n">
        <f aca="false">C1107-D1107</f>
        <v>16</v>
      </c>
    </row>
    <row r="1108" customFormat="false" ht="15" hidden="false" customHeight="false" outlineLevel="0" collapsed="false">
      <c r="A1108" s="4" t="n">
        <v>23</v>
      </c>
      <c r="B1108" s="4" t="n">
        <v>32</v>
      </c>
      <c r="C1108" s="4" t="n">
        <v>193</v>
      </c>
      <c r="D1108" s="4" t="n">
        <v>179</v>
      </c>
      <c r="E1108" s="6" t="n">
        <v>14.7989925194568</v>
      </c>
      <c r="F1108" s="6" t="n">
        <f aca="false">D1108+E1108</f>
        <v>193.798992519457</v>
      </c>
      <c r="G1108" s="6" t="n">
        <f aca="false">F1108-C1108</f>
        <v>0.79899251945676</v>
      </c>
      <c r="H1108" s="4" t="str">
        <f aca="false">IF(G1108&gt;2,"LATE",IF(G1108&lt;-13,"EARLY","IN"))</f>
        <v>IN</v>
      </c>
      <c r="I1108" s="4" t="n">
        <f aca="false">C1108-D1108</f>
        <v>14</v>
      </c>
    </row>
    <row r="1109" customFormat="false" ht="15" hidden="false" customHeight="false" outlineLevel="0" collapsed="false">
      <c r="A1109" s="4" t="n">
        <v>23</v>
      </c>
      <c r="B1109" s="4" t="n">
        <v>39</v>
      </c>
      <c r="C1109" s="4" t="n">
        <v>161</v>
      </c>
      <c r="D1109" s="4" t="n">
        <v>140</v>
      </c>
      <c r="E1109" s="6" t="n">
        <v>14.1740973755553</v>
      </c>
      <c r="F1109" s="6" t="n">
        <f aca="false">D1109+E1109</f>
        <v>154.174097375555</v>
      </c>
      <c r="G1109" s="6" t="n">
        <f aca="false">F1109-C1109</f>
        <v>-6.82590262444475</v>
      </c>
      <c r="H1109" s="4" t="str">
        <f aca="false">IF(G1109&gt;2,"LATE",IF(G1109&lt;-13,"EARLY","IN"))</f>
        <v>IN</v>
      </c>
      <c r="I1109" s="4" t="n">
        <f aca="false">C1109-D1109</f>
        <v>21</v>
      </c>
    </row>
    <row r="1110" customFormat="false" ht="15" hidden="false" customHeight="false" outlineLevel="0" collapsed="false">
      <c r="A1110" s="4" t="n">
        <v>23</v>
      </c>
      <c r="B1110" s="4" t="n">
        <v>45</v>
      </c>
      <c r="C1110" s="4" t="n">
        <v>242</v>
      </c>
      <c r="D1110" s="4" t="n">
        <v>224</v>
      </c>
      <c r="E1110" s="6" t="n">
        <v>14.8977348682488</v>
      </c>
      <c r="F1110" s="6" t="n">
        <f aca="false">D1110+E1110</f>
        <v>238.897734868249</v>
      </c>
      <c r="G1110" s="6" t="n">
        <f aca="false">F1110-C1110</f>
        <v>-3.10226513175124</v>
      </c>
      <c r="H1110" s="4" t="str">
        <f aca="false">IF(G1110&gt;2,"LATE",IF(G1110&lt;-13,"EARLY","IN"))</f>
        <v>IN</v>
      </c>
      <c r="I1110" s="4" t="n">
        <f aca="false">C1110-D1110</f>
        <v>18</v>
      </c>
    </row>
    <row r="1111" customFormat="false" ht="15" hidden="false" customHeight="false" outlineLevel="0" collapsed="false">
      <c r="A1111" s="4" t="n">
        <v>23</v>
      </c>
      <c r="B1111" s="4" t="n">
        <v>49</v>
      </c>
      <c r="C1111" s="4" t="n">
        <v>285</v>
      </c>
      <c r="D1111" s="4" t="n">
        <v>260</v>
      </c>
      <c r="E1111" s="6" t="n">
        <v>14.0110598281657</v>
      </c>
      <c r="F1111" s="6" t="n">
        <f aca="false">D1111+E1111</f>
        <v>274.011059828166</v>
      </c>
      <c r="G1111" s="6" t="n">
        <f aca="false">F1111-C1111</f>
        <v>-10.9889401718343</v>
      </c>
      <c r="H1111" s="4" t="str">
        <f aca="false">IF(G1111&gt;2,"LATE",IF(G1111&lt;-13,"EARLY","IN"))</f>
        <v>IN</v>
      </c>
      <c r="I1111" s="4" t="n">
        <f aca="false">C1111-D1111</f>
        <v>25</v>
      </c>
    </row>
    <row r="1112" customFormat="false" ht="15" hidden="false" customHeight="false" outlineLevel="0" collapsed="false">
      <c r="A1112" s="4" t="n">
        <v>23</v>
      </c>
      <c r="B1112" s="4" t="n">
        <v>50</v>
      </c>
      <c r="C1112" s="4" t="n">
        <v>223</v>
      </c>
      <c r="D1112" s="4" t="n">
        <v>204</v>
      </c>
      <c r="E1112" s="6" t="n">
        <v>11.3559481761844</v>
      </c>
      <c r="F1112" s="6" t="n">
        <f aca="false">D1112+E1112</f>
        <v>215.355948176184</v>
      </c>
      <c r="G1112" s="6" t="n">
        <f aca="false">F1112-C1112</f>
        <v>-7.64405182381557</v>
      </c>
      <c r="H1112" s="4" t="str">
        <f aca="false">IF(G1112&gt;2,"LATE",IF(G1112&lt;-13,"EARLY","IN"))</f>
        <v>IN</v>
      </c>
      <c r="I1112" s="4" t="n">
        <f aca="false">C1112-D1112</f>
        <v>19</v>
      </c>
    </row>
    <row r="1113" customFormat="false" ht="15" hidden="false" customHeight="false" outlineLevel="0" collapsed="false">
      <c r="A1113" s="4" t="n">
        <v>23</v>
      </c>
      <c r="B1113" s="4" t="n">
        <v>58</v>
      </c>
      <c r="C1113" s="4" t="n">
        <v>147</v>
      </c>
      <c r="D1113" s="4" t="n">
        <v>132</v>
      </c>
      <c r="E1113" s="6" t="n">
        <v>12.4628069786795</v>
      </c>
      <c r="F1113" s="6" t="n">
        <f aca="false">D1113+E1113</f>
        <v>144.46280697868</v>
      </c>
      <c r="G1113" s="6" t="n">
        <f aca="false">F1113-C1113</f>
        <v>-2.53719302132046</v>
      </c>
      <c r="H1113" s="4" t="str">
        <f aca="false">IF(G1113&gt;2,"LATE",IF(G1113&lt;-13,"EARLY","IN"))</f>
        <v>IN</v>
      </c>
      <c r="I1113" s="4" t="n">
        <f aca="false">C1113-D1113</f>
        <v>15</v>
      </c>
    </row>
    <row r="1114" customFormat="false" ht="15" hidden="false" customHeight="false" outlineLevel="0" collapsed="false">
      <c r="A1114" s="4" t="n">
        <v>23</v>
      </c>
      <c r="B1114" s="4" t="n">
        <v>59</v>
      </c>
      <c r="C1114" s="4" t="n">
        <v>169</v>
      </c>
      <c r="D1114" s="4" t="n">
        <v>155</v>
      </c>
      <c r="E1114" s="6" t="n">
        <v>13.5891427992416</v>
      </c>
      <c r="F1114" s="6" t="n">
        <f aca="false">D1114+E1114</f>
        <v>168.589142799242</v>
      </c>
      <c r="G1114" s="6" t="n">
        <f aca="false">F1114-C1114</f>
        <v>-0.410857200758443</v>
      </c>
      <c r="H1114" s="4" t="str">
        <f aca="false">IF(G1114&gt;2,"LATE",IF(G1114&lt;-13,"EARLY","IN"))</f>
        <v>IN</v>
      </c>
      <c r="I1114" s="4" t="n">
        <f aca="false">C1114-D1114</f>
        <v>14</v>
      </c>
    </row>
    <row r="1115" customFormat="false" ht="15" hidden="false" customHeight="false" outlineLevel="0" collapsed="false">
      <c r="A1115" s="4" t="n">
        <v>23</v>
      </c>
      <c r="B1115" s="4" t="n">
        <v>60</v>
      </c>
      <c r="C1115" s="4" t="n">
        <v>300</v>
      </c>
      <c r="D1115" s="4" t="n">
        <v>275</v>
      </c>
      <c r="E1115" s="6" t="n">
        <v>15.1784901151379</v>
      </c>
      <c r="F1115" s="6" t="n">
        <f aca="false">D1115+E1115</f>
        <v>290.178490115138</v>
      </c>
      <c r="G1115" s="6" t="n">
        <f aca="false">F1115-C1115</f>
        <v>-9.82150988486211</v>
      </c>
      <c r="H1115" s="4" t="str">
        <f aca="false">IF(G1115&gt;2,"LATE",IF(G1115&lt;-13,"EARLY","IN"))</f>
        <v>IN</v>
      </c>
      <c r="I1115" s="4" t="n">
        <f aca="false">C1115-D1115</f>
        <v>25</v>
      </c>
    </row>
    <row r="1116" customFormat="false" ht="15" hidden="false" customHeight="false" outlineLevel="0" collapsed="false">
      <c r="A1116" s="4" t="n">
        <v>23</v>
      </c>
      <c r="B1116" s="4" t="n">
        <v>62</v>
      </c>
      <c r="C1116" s="4" t="n">
        <v>238</v>
      </c>
      <c r="D1116" s="4" t="n">
        <v>218</v>
      </c>
      <c r="E1116" s="6" t="n">
        <v>13.2848647554457</v>
      </c>
      <c r="F1116" s="6" t="n">
        <f aca="false">D1116+E1116</f>
        <v>231.284864755446</v>
      </c>
      <c r="G1116" s="6" t="n">
        <f aca="false">F1116-C1116</f>
        <v>-6.71513524455429</v>
      </c>
      <c r="H1116" s="4" t="str">
        <f aca="false">IF(G1116&gt;2,"LATE",IF(G1116&lt;-13,"EARLY","IN"))</f>
        <v>IN</v>
      </c>
      <c r="I1116" s="4" t="n">
        <f aca="false">C1116-D1116</f>
        <v>20</v>
      </c>
    </row>
    <row r="1117" customFormat="false" ht="15" hidden="false" customHeight="false" outlineLevel="0" collapsed="false">
      <c r="A1117" s="4" t="n">
        <v>23</v>
      </c>
      <c r="B1117" s="4" t="n">
        <v>63</v>
      </c>
      <c r="C1117" s="4" t="n">
        <v>254</v>
      </c>
      <c r="D1117" s="4" t="n">
        <v>238</v>
      </c>
      <c r="E1117" s="6" t="n">
        <v>15.7029969870166</v>
      </c>
      <c r="F1117" s="6" t="n">
        <f aca="false">D1117+E1117</f>
        <v>253.702996987017</v>
      </c>
      <c r="G1117" s="6" t="n">
        <f aca="false">F1117-C1117</f>
        <v>-0.297003012983396</v>
      </c>
      <c r="H1117" s="4" t="str">
        <f aca="false">IF(G1117&gt;2,"LATE",IF(G1117&lt;-13,"EARLY","IN"))</f>
        <v>IN</v>
      </c>
      <c r="I1117" s="4" t="n">
        <f aca="false">C1117-D1117</f>
        <v>16</v>
      </c>
    </row>
    <row r="1118" customFormat="false" ht="15" hidden="false" customHeight="false" outlineLevel="0" collapsed="false">
      <c r="A1118" s="4" t="n">
        <v>23</v>
      </c>
      <c r="B1118" s="4" t="n">
        <v>67</v>
      </c>
      <c r="C1118" s="4" t="n">
        <v>145</v>
      </c>
      <c r="D1118" s="4" t="n">
        <v>127</v>
      </c>
      <c r="E1118" s="6" t="n">
        <v>15.4081109892942</v>
      </c>
      <c r="F1118" s="6" t="n">
        <f aca="false">D1118+E1118</f>
        <v>142.408110989294</v>
      </c>
      <c r="G1118" s="6" t="n">
        <f aca="false">F1118-C1118</f>
        <v>-2.59188901070576</v>
      </c>
      <c r="H1118" s="4" t="str">
        <f aca="false">IF(G1118&gt;2,"LATE",IF(G1118&lt;-13,"EARLY","IN"))</f>
        <v>IN</v>
      </c>
      <c r="I1118" s="4" t="n">
        <f aca="false">C1118-D1118</f>
        <v>18</v>
      </c>
    </row>
    <row r="1119" customFormat="false" ht="15" hidden="false" customHeight="false" outlineLevel="0" collapsed="false">
      <c r="A1119" s="4" t="n">
        <v>23</v>
      </c>
      <c r="B1119" s="4" t="n">
        <v>70</v>
      </c>
      <c r="C1119" s="4" t="n">
        <v>175</v>
      </c>
      <c r="D1119" s="4" t="n">
        <v>158</v>
      </c>
      <c r="E1119" s="6" t="n">
        <v>13.0815966522115</v>
      </c>
      <c r="F1119" s="6" t="n">
        <f aca="false">D1119+E1119</f>
        <v>171.081596652212</v>
      </c>
      <c r="G1119" s="6" t="n">
        <f aca="false">F1119-C1119</f>
        <v>-3.91840334778851</v>
      </c>
      <c r="H1119" s="4" t="str">
        <f aca="false">IF(G1119&gt;2,"LATE",IF(G1119&lt;-13,"EARLY","IN"))</f>
        <v>IN</v>
      </c>
      <c r="I1119" s="4" t="n">
        <f aca="false">C1119-D1119</f>
        <v>17</v>
      </c>
    </row>
    <row r="1120" customFormat="false" ht="15" hidden="false" customHeight="false" outlineLevel="0" collapsed="false">
      <c r="A1120" s="4" t="n">
        <v>23</v>
      </c>
      <c r="B1120" s="4" t="n">
        <v>71</v>
      </c>
      <c r="C1120" s="4" t="n">
        <v>225</v>
      </c>
      <c r="D1120" s="4" t="n">
        <v>204</v>
      </c>
      <c r="E1120" s="6" t="n">
        <v>12.6683574590625</v>
      </c>
      <c r="F1120" s="6" t="n">
        <f aca="false">D1120+E1120</f>
        <v>216.668357459063</v>
      </c>
      <c r="G1120" s="6" t="n">
        <f aca="false">F1120-C1120</f>
        <v>-8.33164254093748</v>
      </c>
      <c r="H1120" s="4" t="str">
        <f aca="false">IF(G1120&gt;2,"LATE",IF(G1120&lt;-13,"EARLY","IN"))</f>
        <v>IN</v>
      </c>
      <c r="I1120" s="4" t="n">
        <f aca="false">C1120-D1120</f>
        <v>21</v>
      </c>
    </row>
    <row r="1121" customFormat="false" ht="15" hidden="false" customHeight="false" outlineLevel="0" collapsed="false">
      <c r="A1121" s="4" t="n">
        <v>23</v>
      </c>
      <c r="B1121" s="4" t="n">
        <v>78</v>
      </c>
      <c r="C1121" s="4" t="n">
        <v>228</v>
      </c>
      <c r="D1121" s="4" t="n">
        <v>203</v>
      </c>
      <c r="E1121" s="6" t="n">
        <v>17.454265607647</v>
      </c>
      <c r="F1121" s="6" t="n">
        <f aca="false">D1121+E1121</f>
        <v>220.454265607647</v>
      </c>
      <c r="G1121" s="6" t="n">
        <f aca="false">F1121-C1121</f>
        <v>-7.54573439235301</v>
      </c>
      <c r="H1121" s="4" t="str">
        <f aca="false">IF(G1121&gt;2,"LATE",IF(G1121&lt;-13,"EARLY","IN"))</f>
        <v>IN</v>
      </c>
      <c r="I1121" s="4" t="n">
        <f aca="false">C1121-D1121</f>
        <v>25</v>
      </c>
    </row>
    <row r="1122" customFormat="false" ht="15" hidden="false" customHeight="false" outlineLevel="0" collapsed="false">
      <c r="A1122" s="4" t="n">
        <v>23</v>
      </c>
      <c r="B1122" s="4" t="n">
        <v>79</v>
      </c>
      <c r="C1122" s="4" t="n">
        <v>225</v>
      </c>
      <c r="D1122" s="4" t="n">
        <v>200</v>
      </c>
      <c r="E1122" s="6" t="n">
        <v>15.3065224154743</v>
      </c>
      <c r="F1122" s="6" t="n">
        <f aca="false">D1122+E1122</f>
        <v>215.306522415474</v>
      </c>
      <c r="G1122" s="6" t="n">
        <f aca="false">F1122-C1122</f>
        <v>-9.69347758452574</v>
      </c>
      <c r="H1122" s="4" t="str">
        <f aca="false">IF(G1122&gt;2,"LATE",IF(G1122&lt;-13,"EARLY","IN"))</f>
        <v>IN</v>
      </c>
      <c r="I1122" s="4" t="n">
        <f aca="false">C1122-D1122</f>
        <v>25</v>
      </c>
    </row>
    <row r="1123" customFormat="false" ht="15" hidden="false" customHeight="false" outlineLevel="0" collapsed="false">
      <c r="A1123" s="4" t="n">
        <v>23</v>
      </c>
      <c r="B1123" s="4" t="n">
        <v>85</v>
      </c>
      <c r="C1123" s="4" t="n">
        <v>246</v>
      </c>
      <c r="D1123" s="4" t="n">
        <v>226</v>
      </c>
      <c r="E1123" s="6" t="n">
        <v>15.2639440537081</v>
      </c>
      <c r="F1123" s="6" t="n">
        <f aca="false">D1123+E1123</f>
        <v>241.263944053708</v>
      </c>
      <c r="G1123" s="6" t="n">
        <f aca="false">F1123-C1123</f>
        <v>-4.73605594629194</v>
      </c>
      <c r="H1123" s="4" t="str">
        <f aca="false">IF(G1123&gt;2,"LATE",IF(G1123&lt;-13,"EARLY","IN"))</f>
        <v>IN</v>
      </c>
      <c r="I1123" s="4" t="n">
        <f aca="false">C1123-D1123</f>
        <v>20</v>
      </c>
    </row>
    <row r="1124" customFormat="false" ht="15" hidden="false" customHeight="false" outlineLevel="0" collapsed="false">
      <c r="A1124" s="4" t="n">
        <v>23</v>
      </c>
      <c r="B1124" s="4" t="n">
        <v>88</v>
      </c>
      <c r="C1124" s="4" t="n">
        <v>134</v>
      </c>
      <c r="D1124" s="4" t="n">
        <v>120</v>
      </c>
      <c r="E1124" s="6" t="n">
        <v>13.6618613927058</v>
      </c>
      <c r="F1124" s="6" t="n">
        <f aca="false">D1124+E1124</f>
        <v>133.661861392706</v>
      </c>
      <c r="G1124" s="6" t="n">
        <f aca="false">F1124-C1124</f>
        <v>-0.338138607294155</v>
      </c>
      <c r="H1124" s="4" t="str">
        <f aca="false">IF(G1124&gt;2,"LATE",IF(G1124&lt;-13,"EARLY","IN"))</f>
        <v>IN</v>
      </c>
      <c r="I1124" s="4" t="n">
        <f aca="false">C1124-D1124</f>
        <v>14</v>
      </c>
    </row>
    <row r="1125" customFormat="false" ht="15" hidden="false" customHeight="false" outlineLevel="0" collapsed="false">
      <c r="A1125" s="4" t="n">
        <v>23</v>
      </c>
      <c r="B1125" s="4" t="n">
        <v>93</v>
      </c>
      <c r="C1125" s="4" t="n">
        <v>222</v>
      </c>
      <c r="D1125" s="4" t="n">
        <v>205</v>
      </c>
      <c r="E1125" s="6" t="n">
        <v>13.3331331205878</v>
      </c>
      <c r="F1125" s="6" t="n">
        <f aca="false">D1125+E1125</f>
        <v>218.333133120588</v>
      </c>
      <c r="G1125" s="6" t="n">
        <f aca="false">F1125-C1125</f>
        <v>-3.66686687941223</v>
      </c>
      <c r="H1125" s="4" t="str">
        <f aca="false">IF(G1125&gt;2,"LATE",IF(G1125&lt;-13,"EARLY","IN"))</f>
        <v>IN</v>
      </c>
      <c r="I1125" s="4" t="n">
        <f aca="false">C1125-D1125</f>
        <v>17</v>
      </c>
    </row>
    <row r="1126" customFormat="false" ht="15" hidden="false" customHeight="false" outlineLevel="0" collapsed="false">
      <c r="A1126" s="4" t="n">
        <v>23</v>
      </c>
      <c r="B1126" s="4" t="n">
        <v>98</v>
      </c>
      <c r="C1126" s="4" t="n">
        <v>206</v>
      </c>
      <c r="D1126" s="4" t="n">
        <v>194</v>
      </c>
      <c r="E1126" s="6" t="n">
        <v>13.0513858247592</v>
      </c>
      <c r="F1126" s="6" t="n">
        <f aca="false">D1126+E1126</f>
        <v>207.051385824759</v>
      </c>
      <c r="G1126" s="6" t="n">
        <f aca="false">F1126-C1126</f>
        <v>1.05138582475917</v>
      </c>
      <c r="H1126" s="4" t="str">
        <f aca="false">IF(G1126&gt;2,"LATE",IF(G1126&lt;-13,"EARLY","IN"))</f>
        <v>IN</v>
      </c>
      <c r="I1126" s="4" t="n">
        <f aca="false">C1126-D1126</f>
        <v>12</v>
      </c>
    </row>
    <row r="1127" customFormat="false" ht="15" hidden="false" customHeight="false" outlineLevel="0" collapsed="false">
      <c r="A1127" s="4" t="n">
        <v>23</v>
      </c>
      <c r="B1127" s="4" t="n">
        <v>110</v>
      </c>
      <c r="C1127" s="4" t="n">
        <v>277</v>
      </c>
      <c r="D1127" s="4" t="n">
        <v>250</v>
      </c>
      <c r="E1127" s="6" t="n">
        <v>14.429996261567</v>
      </c>
      <c r="F1127" s="6" t="n">
        <f aca="false">D1127+E1127</f>
        <v>264.429996261567</v>
      </c>
      <c r="G1127" s="6" t="n">
        <f aca="false">F1127-C1127</f>
        <v>-12.570003738433</v>
      </c>
      <c r="H1127" s="4" t="str">
        <f aca="false">IF(G1127&gt;2,"LATE",IF(G1127&lt;-13,"EARLY","IN"))</f>
        <v>IN</v>
      </c>
      <c r="I1127" s="4" t="n">
        <f aca="false">C1127-D1127</f>
        <v>27</v>
      </c>
    </row>
    <row r="1128" customFormat="false" ht="15" hidden="false" customHeight="false" outlineLevel="0" collapsed="false">
      <c r="A1128" s="4" t="n">
        <v>23</v>
      </c>
      <c r="B1128" s="4" t="n">
        <v>112</v>
      </c>
      <c r="C1128" s="4" t="n">
        <v>226</v>
      </c>
      <c r="D1128" s="4" t="n">
        <v>212</v>
      </c>
      <c r="E1128" s="6" t="n">
        <v>10.3733128363102</v>
      </c>
      <c r="F1128" s="6" t="n">
        <f aca="false">D1128+E1128</f>
        <v>222.37331283631</v>
      </c>
      <c r="G1128" s="6" t="n">
        <f aca="false">F1128-C1128</f>
        <v>-3.62668716368981</v>
      </c>
      <c r="H1128" s="4" t="str">
        <f aca="false">IF(G1128&gt;2,"LATE",IF(G1128&lt;-13,"EARLY","IN"))</f>
        <v>IN</v>
      </c>
      <c r="I1128" s="4" t="n">
        <f aca="false">C1128-D1128</f>
        <v>14</v>
      </c>
    </row>
    <row r="1129" customFormat="false" ht="15" hidden="false" customHeight="false" outlineLevel="0" collapsed="false">
      <c r="A1129" s="4" t="n">
        <v>23</v>
      </c>
      <c r="B1129" s="4" t="n">
        <v>114</v>
      </c>
      <c r="C1129" s="4" t="n">
        <v>197</v>
      </c>
      <c r="D1129" s="4" t="n">
        <v>176</v>
      </c>
      <c r="E1129" s="6" t="n">
        <v>14.2335613798384</v>
      </c>
      <c r="F1129" s="6" t="n">
        <f aca="false">D1129+E1129</f>
        <v>190.233561379838</v>
      </c>
      <c r="G1129" s="6" t="n">
        <f aca="false">F1129-C1129</f>
        <v>-6.76643862016164</v>
      </c>
      <c r="H1129" s="4" t="str">
        <f aca="false">IF(G1129&gt;2,"LATE",IF(G1129&lt;-13,"EARLY","IN"))</f>
        <v>IN</v>
      </c>
      <c r="I1129" s="4" t="n">
        <f aca="false">C1129-D1129</f>
        <v>21</v>
      </c>
    </row>
    <row r="1130" customFormat="false" ht="15" hidden="false" customHeight="false" outlineLevel="0" collapsed="false">
      <c r="A1130" s="4" t="n">
        <v>23</v>
      </c>
      <c r="B1130" s="4" t="n">
        <v>115</v>
      </c>
      <c r="C1130" s="4" t="n">
        <v>260</v>
      </c>
      <c r="D1130" s="4" t="n">
        <v>243</v>
      </c>
      <c r="E1130" s="6" t="n">
        <v>10.5266288953995</v>
      </c>
      <c r="F1130" s="6" t="n">
        <f aca="false">D1130+E1130</f>
        <v>253.526628895399</v>
      </c>
      <c r="G1130" s="6" t="n">
        <f aca="false">F1130-C1130</f>
        <v>-6.47337110460055</v>
      </c>
      <c r="H1130" s="4" t="str">
        <f aca="false">IF(G1130&gt;2,"LATE",IF(G1130&lt;-13,"EARLY","IN"))</f>
        <v>IN</v>
      </c>
      <c r="I1130" s="4" t="n">
        <f aca="false">C1130-D1130</f>
        <v>17</v>
      </c>
    </row>
    <row r="1131" customFormat="false" ht="15" hidden="false" customHeight="false" outlineLevel="0" collapsed="false">
      <c r="A1131" s="4" t="n">
        <v>23</v>
      </c>
      <c r="B1131" s="4" t="n">
        <v>121</v>
      </c>
      <c r="C1131" s="4" t="n">
        <v>153</v>
      </c>
      <c r="D1131" s="4" t="n">
        <v>137</v>
      </c>
      <c r="E1131" s="6" t="n">
        <v>13.1680766677852</v>
      </c>
      <c r="F1131" s="6" t="n">
        <f aca="false">D1131+E1131</f>
        <v>150.168076667785</v>
      </c>
      <c r="G1131" s="6" t="n">
        <f aca="false">F1131-C1131</f>
        <v>-2.83192333221481</v>
      </c>
      <c r="H1131" s="4" t="str">
        <f aca="false">IF(G1131&gt;2,"LATE",IF(G1131&lt;-13,"EARLY","IN"))</f>
        <v>IN</v>
      </c>
      <c r="I1131" s="4" t="n">
        <f aca="false">C1131-D1131</f>
        <v>16</v>
      </c>
    </row>
    <row r="1132" customFormat="false" ht="15" hidden="false" customHeight="false" outlineLevel="0" collapsed="false">
      <c r="A1132" s="4" t="n">
        <v>23</v>
      </c>
      <c r="B1132" s="4" t="n">
        <v>131</v>
      </c>
      <c r="C1132" s="4" t="n">
        <v>263</v>
      </c>
      <c r="D1132" s="4" t="n">
        <v>235</v>
      </c>
      <c r="E1132" s="6" t="n">
        <v>15.0799519195341</v>
      </c>
      <c r="F1132" s="6" t="n">
        <f aca="false">D1132+E1132</f>
        <v>250.079951919534</v>
      </c>
      <c r="G1132" s="6" t="n">
        <f aca="false">F1132-C1132</f>
        <v>-12.9200480804659</v>
      </c>
      <c r="H1132" s="4" t="str">
        <f aca="false">IF(G1132&gt;2,"LATE",IF(G1132&lt;-13,"EARLY","IN"))</f>
        <v>IN</v>
      </c>
      <c r="I1132" s="4" t="n">
        <f aca="false">C1132-D1132</f>
        <v>28</v>
      </c>
    </row>
    <row r="1133" customFormat="false" ht="15" hidden="false" customHeight="false" outlineLevel="0" collapsed="false">
      <c r="A1133" s="4" t="n">
        <v>23</v>
      </c>
      <c r="B1133" s="4" t="n">
        <v>132</v>
      </c>
      <c r="C1133" s="4" t="n">
        <v>199</v>
      </c>
      <c r="D1133" s="4" t="n">
        <v>187</v>
      </c>
      <c r="E1133" s="6" t="n">
        <v>12.0706236051203</v>
      </c>
      <c r="F1133" s="6" t="n">
        <f aca="false">D1133+E1133</f>
        <v>199.07062360512</v>
      </c>
      <c r="G1133" s="6" t="n">
        <f aca="false">F1133-C1133</f>
        <v>0.0706236051203177</v>
      </c>
      <c r="H1133" s="4" t="str">
        <f aca="false">IF(G1133&gt;2,"LATE",IF(G1133&lt;-13,"EARLY","IN"))</f>
        <v>IN</v>
      </c>
      <c r="I1133" s="4" t="n">
        <f aca="false">C1133-D1133</f>
        <v>12</v>
      </c>
    </row>
    <row r="1134" customFormat="false" ht="15" hidden="false" customHeight="false" outlineLevel="0" collapsed="false">
      <c r="A1134" s="4" t="n">
        <v>23</v>
      </c>
      <c r="B1134" s="4" t="n">
        <v>133</v>
      </c>
      <c r="C1134" s="4" t="n">
        <v>151</v>
      </c>
      <c r="D1134" s="4" t="n">
        <v>134</v>
      </c>
      <c r="E1134" s="6" t="n">
        <v>16.2621325692975</v>
      </c>
      <c r="F1134" s="6" t="n">
        <f aca="false">D1134+E1134</f>
        <v>150.262132569297</v>
      </c>
      <c r="G1134" s="6" t="n">
        <f aca="false">F1134-C1134</f>
        <v>-0.737867430702522</v>
      </c>
      <c r="H1134" s="4" t="str">
        <f aca="false">IF(G1134&gt;2,"LATE",IF(G1134&lt;-13,"EARLY","IN"))</f>
        <v>IN</v>
      </c>
      <c r="I1134" s="4" t="n">
        <f aca="false">C1134-D1134</f>
        <v>17</v>
      </c>
    </row>
    <row r="1135" customFormat="false" ht="15" hidden="false" customHeight="false" outlineLevel="0" collapsed="false">
      <c r="A1135" s="4" t="n">
        <v>23</v>
      </c>
      <c r="B1135" s="4" t="n">
        <v>136</v>
      </c>
      <c r="C1135" s="4" t="n">
        <v>232</v>
      </c>
      <c r="D1135" s="4" t="n">
        <v>205</v>
      </c>
      <c r="E1135" s="6" t="n">
        <v>13.3120861636857</v>
      </c>
      <c r="F1135" s="6" t="n">
        <f aca="false">D1135+E1135</f>
        <v>218.312086163686</v>
      </c>
      <c r="G1135" s="6" t="n">
        <f aca="false">F1135-C1135</f>
        <v>-13.6879138363143</v>
      </c>
      <c r="H1135" s="4" t="str">
        <f aca="false">IF(G1135&gt;2,"LATE",IF(G1135&lt;-13,"EARLY","IN"))</f>
        <v>EARLY</v>
      </c>
      <c r="I1135" s="4" t="n">
        <f aca="false">C1135-D1135</f>
        <v>27</v>
      </c>
    </row>
    <row r="1136" customFormat="false" ht="15" hidden="false" customHeight="false" outlineLevel="0" collapsed="false">
      <c r="A1136" s="4" t="n">
        <v>23</v>
      </c>
      <c r="B1136" s="4" t="n">
        <v>141</v>
      </c>
      <c r="C1136" s="4" t="n">
        <v>277</v>
      </c>
      <c r="D1136" s="4" t="n">
        <v>255</v>
      </c>
      <c r="E1136" s="6" t="n">
        <v>11.8907424892637</v>
      </c>
      <c r="F1136" s="6" t="n">
        <f aca="false">D1136+E1136</f>
        <v>266.890742489264</v>
      </c>
      <c r="G1136" s="6" t="n">
        <f aca="false">F1136-C1136</f>
        <v>-10.1092575107363</v>
      </c>
      <c r="H1136" s="4" t="str">
        <f aca="false">IF(G1136&gt;2,"LATE",IF(G1136&lt;-13,"EARLY","IN"))</f>
        <v>IN</v>
      </c>
      <c r="I1136" s="4" t="n">
        <f aca="false">C1136-D1136</f>
        <v>22</v>
      </c>
    </row>
    <row r="1137" customFormat="false" ht="15" hidden="false" customHeight="false" outlineLevel="0" collapsed="false">
      <c r="A1137" s="4" t="n">
        <v>23</v>
      </c>
      <c r="B1137" s="4" t="n">
        <v>147</v>
      </c>
      <c r="C1137" s="4" t="n">
        <v>323</v>
      </c>
      <c r="D1137" s="4" t="n">
        <v>287</v>
      </c>
      <c r="E1137" s="6" t="n">
        <v>13.9120569496092</v>
      </c>
      <c r="F1137" s="6" t="n">
        <f aca="false">D1137+E1137</f>
        <v>300.912056949609</v>
      </c>
      <c r="G1137" s="6" t="n">
        <f aca="false">F1137-C1137</f>
        <v>-22.0879430503908</v>
      </c>
      <c r="H1137" s="4" t="str">
        <f aca="false">IF(G1137&gt;2,"LATE",IF(G1137&lt;-13,"EARLY","IN"))</f>
        <v>EARLY</v>
      </c>
      <c r="I1137" s="4" t="n">
        <f aca="false">C1137-D1137</f>
        <v>36</v>
      </c>
    </row>
    <row r="1138" customFormat="false" ht="15" hidden="false" customHeight="false" outlineLevel="0" collapsed="false">
      <c r="A1138" s="4" t="n">
        <v>23</v>
      </c>
      <c r="B1138" s="4" t="n">
        <v>149</v>
      </c>
      <c r="C1138" s="4" t="n">
        <v>192</v>
      </c>
      <c r="D1138" s="4" t="n">
        <v>170</v>
      </c>
      <c r="E1138" s="6" t="n">
        <v>19.2430020469505</v>
      </c>
      <c r="F1138" s="6" t="n">
        <f aca="false">D1138+E1138</f>
        <v>189.243002046951</v>
      </c>
      <c r="G1138" s="6" t="n">
        <f aca="false">F1138-C1138</f>
        <v>-2.75699795304945</v>
      </c>
      <c r="H1138" s="4" t="str">
        <f aca="false">IF(G1138&gt;2,"LATE",IF(G1138&lt;-13,"EARLY","IN"))</f>
        <v>IN</v>
      </c>
      <c r="I1138" s="4" t="n">
        <f aca="false">C1138-D1138</f>
        <v>22</v>
      </c>
    </row>
    <row r="1139" customFormat="false" ht="15" hidden="false" customHeight="false" outlineLevel="0" collapsed="false">
      <c r="A1139" s="4" t="n">
        <v>23</v>
      </c>
      <c r="B1139" s="4" t="n">
        <v>156</v>
      </c>
      <c r="C1139" s="4" t="n">
        <v>228</v>
      </c>
      <c r="D1139" s="4" t="n">
        <v>214</v>
      </c>
      <c r="E1139" s="6" t="n">
        <v>11.7437487292832</v>
      </c>
      <c r="F1139" s="6" t="n">
        <f aca="false">D1139+E1139</f>
        <v>225.743748729283</v>
      </c>
      <c r="G1139" s="6" t="n">
        <f aca="false">F1139-C1139</f>
        <v>-2.25625127071677</v>
      </c>
      <c r="H1139" s="4" t="str">
        <f aca="false">IF(G1139&gt;2,"LATE",IF(G1139&lt;-13,"EARLY","IN"))</f>
        <v>IN</v>
      </c>
      <c r="I1139" s="4" t="n">
        <f aca="false">C1139-D1139</f>
        <v>14</v>
      </c>
    </row>
    <row r="1140" customFormat="false" ht="15" hidden="false" customHeight="false" outlineLevel="0" collapsed="false">
      <c r="A1140" s="4" t="n">
        <v>23</v>
      </c>
      <c r="B1140" s="4" t="n">
        <v>159</v>
      </c>
      <c r="C1140" s="4" t="n">
        <v>174</v>
      </c>
      <c r="D1140" s="4" t="n">
        <v>159</v>
      </c>
      <c r="E1140" s="6" t="n">
        <v>18.9357424375929</v>
      </c>
      <c r="F1140" s="6" t="n">
        <f aca="false">D1140+E1140</f>
        <v>177.935742437593</v>
      </c>
      <c r="G1140" s="6" t="n">
        <f aca="false">F1140-C1140</f>
        <v>3.93574243759295</v>
      </c>
      <c r="H1140" s="4" t="str">
        <f aca="false">IF(G1140&gt;2,"LATE",IF(G1140&lt;-13,"EARLY","IN"))</f>
        <v>LATE</v>
      </c>
      <c r="I1140" s="4" t="n">
        <f aca="false">C1140-D1140</f>
        <v>15</v>
      </c>
    </row>
    <row r="1141" customFormat="false" ht="15" hidden="false" customHeight="false" outlineLevel="0" collapsed="false">
      <c r="A1141" s="4" t="n">
        <v>23</v>
      </c>
      <c r="B1141" s="4" t="n">
        <v>164</v>
      </c>
      <c r="C1141" s="4" t="n">
        <v>211</v>
      </c>
      <c r="D1141" s="4" t="n">
        <v>191</v>
      </c>
      <c r="E1141" s="6" t="n">
        <v>16.4690891670408</v>
      </c>
      <c r="F1141" s="6" t="n">
        <f aca="false">D1141+E1141</f>
        <v>207.469089167041</v>
      </c>
      <c r="G1141" s="6" t="n">
        <f aca="false">F1141-C1141</f>
        <v>-3.53091083295917</v>
      </c>
      <c r="H1141" s="4" t="str">
        <f aca="false">IF(G1141&gt;2,"LATE",IF(G1141&lt;-13,"EARLY","IN"))</f>
        <v>IN</v>
      </c>
      <c r="I1141" s="4" t="n">
        <f aca="false">C1141-D1141</f>
        <v>20</v>
      </c>
    </row>
    <row r="1142" customFormat="false" ht="15" hidden="false" customHeight="false" outlineLevel="0" collapsed="false">
      <c r="A1142" s="4" t="n">
        <v>23</v>
      </c>
      <c r="B1142" s="4" t="n">
        <v>167</v>
      </c>
      <c r="C1142" s="4" t="n">
        <v>177</v>
      </c>
      <c r="D1142" s="4" t="n">
        <v>166</v>
      </c>
      <c r="E1142" s="6" t="n">
        <v>11.0565574443195</v>
      </c>
      <c r="F1142" s="6" t="n">
        <f aca="false">D1142+E1142</f>
        <v>177.056557444319</v>
      </c>
      <c r="G1142" s="6" t="n">
        <f aca="false">F1142-C1142</f>
        <v>0.0565574443194805</v>
      </c>
      <c r="H1142" s="4" t="str">
        <f aca="false">IF(G1142&gt;2,"LATE",IF(G1142&lt;-13,"EARLY","IN"))</f>
        <v>IN</v>
      </c>
      <c r="I1142" s="4" t="n">
        <f aca="false">C1142-D1142</f>
        <v>11</v>
      </c>
    </row>
    <row r="1143" customFormat="false" ht="15" hidden="false" customHeight="false" outlineLevel="0" collapsed="false">
      <c r="A1143" s="4" t="n">
        <v>23</v>
      </c>
      <c r="B1143" s="4" t="n">
        <v>176</v>
      </c>
      <c r="C1143" s="4" t="n">
        <v>197</v>
      </c>
      <c r="D1143" s="4" t="n">
        <v>173</v>
      </c>
      <c r="E1143" s="6" t="n">
        <v>15.0145248271694</v>
      </c>
      <c r="F1143" s="6" t="n">
        <f aca="false">D1143+E1143</f>
        <v>188.014524827169</v>
      </c>
      <c r="G1143" s="6" t="n">
        <f aca="false">F1143-C1143</f>
        <v>-8.98547517283055</v>
      </c>
      <c r="H1143" s="4" t="str">
        <f aca="false">IF(G1143&gt;2,"LATE",IF(G1143&lt;-13,"EARLY","IN"))</f>
        <v>IN</v>
      </c>
      <c r="I1143" s="4" t="n">
        <f aca="false">C1143-D1143</f>
        <v>24</v>
      </c>
    </row>
    <row r="1144" customFormat="false" ht="15" hidden="false" customHeight="false" outlineLevel="0" collapsed="false">
      <c r="A1144" s="4" t="n">
        <v>23</v>
      </c>
      <c r="B1144" s="4" t="n">
        <v>180</v>
      </c>
      <c r="C1144" s="4" t="n">
        <v>200</v>
      </c>
      <c r="D1144" s="4" t="n">
        <v>181</v>
      </c>
      <c r="E1144" s="6" t="n">
        <v>13.0981532180301</v>
      </c>
      <c r="F1144" s="6" t="n">
        <f aca="false">D1144+E1144</f>
        <v>194.09815321803</v>
      </c>
      <c r="G1144" s="6" t="n">
        <f aca="false">F1144-C1144</f>
        <v>-5.90184678196991</v>
      </c>
      <c r="H1144" s="4" t="str">
        <f aca="false">IF(G1144&gt;2,"LATE",IF(G1144&lt;-13,"EARLY","IN"))</f>
        <v>IN</v>
      </c>
      <c r="I1144" s="4" t="n">
        <f aca="false">C1144-D1144</f>
        <v>19</v>
      </c>
    </row>
    <row r="1145" customFormat="false" ht="15" hidden="false" customHeight="false" outlineLevel="0" collapsed="false">
      <c r="A1145" s="4" t="n">
        <v>23</v>
      </c>
      <c r="B1145" s="4" t="n">
        <v>182</v>
      </c>
      <c r="C1145" s="4" t="n">
        <v>220</v>
      </c>
      <c r="D1145" s="4" t="n">
        <v>196</v>
      </c>
      <c r="E1145" s="6" t="n">
        <v>15.2170922723139</v>
      </c>
      <c r="F1145" s="6" t="n">
        <f aca="false">D1145+E1145</f>
        <v>211.217092272314</v>
      </c>
      <c r="G1145" s="6" t="n">
        <f aca="false">F1145-C1145</f>
        <v>-8.78290772768605</v>
      </c>
      <c r="H1145" s="4" t="str">
        <f aca="false">IF(G1145&gt;2,"LATE",IF(G1145&lt;-13,"EARLY","IN"))</f>
        <v>IN</v>
      </c>
      <c r="I1145" s="4" t="n">
        <f aca="false">C1145-D1145</f>
        <v>24</v>
      </c>
    </row>
    <row r="1146" customFormat="false" ht="15" hidden="false" customHeight="false" outlineLevel="0" collapsed="false">
      <c r="A1146" s="4" t="n">
        <v>23</v>
      </c>
      <c r="B1146" s="4" t="n">
        <v>187</v>
      </c>
      <c r="C1146" s="4" t="n">
        <v>199</v>
      </c>
      <c r="D1146" s="4" t="n">
        <v>177</v>
      </c>
      <c r="E1146" s="6" t="n">
        <v>14.1854067818714</v>
      </c>
      <c r="F1146" s="6" t="n">
        <f aca="false">D1146+E1146</f>
        <v>191.185406781871</v>
      </c>
      <c r="G1146" s="6" t="n">
        <f aca="false">F1146-C1146</f>
        <v>-7.81459321812866</v>
      </c>
      <c r="H1146" s="4" t="str">
        <f aca="false">IF(G1146&gt;2,"LATE",IF(G1146&lt;-13,"EARLY","IN"))</f>
        <v>IN</v>
      </c>
      <c r="I1146" s="4" t="n">
        <f aca="false">C1146-D1146</f>
        <v>22</v>
      </c>
    </row>
    <row r="1147" customFormat="false" ht="15" hidden="false" customHeight="false" outlineLevel="0" collapsed="false">
      <c r="A1147" s="4" t="n">
        <v>23</v>
      </c>
      <c r="B1147" s="4" t="n">
        <v>188</v>
      </c>
      <c r="C1147" s="4" t="n">
        <v>246</v>
      </c>
      <c r="D1147" s="4" t="n">
        <v>218</v>
      </c>
      <c r="E1147" s="6" t="n">
        <v>19.959432106455</v>
      </c>
      <c r="F1147" s="6" t="n">
        <f aca="false">D1147+E1147</f>
        <v>237.959432106455</v>
      </c>
      <c r="G1147" s="6" t="n">
        <f aca="false">F1147-C1147</f>
        <v>-8.04056789354496</v>
      </c>
      <c r="H1147" s="4" t="str">
        <f aca="false">IF(G1147&gt;2,"LATE",IF(G1147&lt;-13,"EARLY","IN"))</f>
        <v>IN</v>
      </c>
      <c r="I1147" s="4" t="n">
        <f aca="false">C1147-D1147</f>
        <v>28</v>
      </c>
    </row>
    <row r="1148" customFormat="false" ht="15" hidden="false" customHeight="false" outlineLevel="0" collapsed="false">
      <c r="A1148" s="4" t="n">
        <v>23</v>
      </c>
      <c r="B1148" s="4" t="n">
        <v>200</v>
      </c>
      <c r="C1148" s="4" t="n">
        <v>182</v>
      </c>
      <c r="D1148" s="4" t="n">
        <v>163</v>
      </c>
      <c r="E1148" s="6" t="n">
        <v>15.052756576604</v>
      </c>
      <c r="F1148" s="6" t="n">
        <f aca="false">D1148+E1148</f>
        <v>178.052756576604</v>
      </c>
      <c r="G1148" s="6" t="n">
        <f aca="false">F1148-C1148</f>
        <v>-3.94724342339597</v>
      </c>
      <c r="H1148" s="4" t="str">
        <f aca="false">IF(G1148&gt;2,"LATE",IF(G1148&lt;-13,"EARLY","IN"))</f>
        <v>IN</v>
      </c>
      <c r="I1148" s="4" t="n">
        <f aca="false">C1148-D1148</f>
        <v>19</v>
      </c>
    </row>
    <row r="1149" customFormat="false" ht="15" hidden="false" customHeight="false" outlineLevel="0" collapsed="false">
      <c r="A1149" s="4" t="n">
        <v>23</v>
      </c>
      <c r="B1149" s="4" t="n">
        <v>204</v>
      </c>
      <c r="C1149" s="4" t="n">
        <v>174</v>
      </c>
      <c r="D1149" s="4" t="n">
        <v>158</v>
      </c>
      <c r="E1149" s="6" t="n">
        <v>17.8480159665968</v>
      </c>
      <c r="F1149" s="6" t="n">
        <f aca="false">D1149+E1149</f>
        <v>175.848015966597</v>
      </c>
      <c r="G1149" s="6" t="n">
        <f aca="false">F1149-C1149</f>
        <v>1.84801596659676</v>
      </c>
      <c r="H1149" s="4" t="str">
        <f aca="false">IF(G1149&gt;2,"LATE",IF(G1149&lt;-13,"EARLY","IN"))</f>
        <v>IN</v>
      </c>
      <c r="I1149" s="4" t="n">
        <f aca="false">C1149-D1149</f>
        <v>16</v>
      </c>
    </row>
    <row r="1150" customFormat="false" ht="15" hidden="false" customHeight="false" outlineLevel="0" collapsed="false">
      <c r="A1150" s="4" t="n">
        <v>23</v>
      </c>
      <c r="B1150" s="4" t="n">
        <v>210</v>
      </c>
      <c r="C1150" s="4" t="n">
        <v>233</v>
      </c>
      <c r="D1150" s="4" t="n">
        <v>208</v>
      </c>
      <c r="E1150" s="6" t="n">
        <v>11.8089677179678</v>
      </c>
      <c r="F1150" s="6" t="n">
        <f aca="false">D1150+E1150</f>
        <v>219.808967717968</v>
      </c>
      <c r="G1150" s="6" t="n">
        <f aca="false">F1150-C1150</f>
        <v>-13.1910322820322</v>
      </c>
      <c r="H1150" s="4" t="str">
        <f aca="false">IF(G1150&gt;2,"LATE",IF(G1150&lt;-13,"EARLY","IN"))</f>
        <v>EARLY</v>
      </c>
      <c r="I1150" s="4" t="n">
        <f aca="false">C1150-D1150</f>
        <v>25</v>
      </c>
    </row>
    <row r="1151" customFormat="false" ht="15" hidden="false" customHeight="false" outlineLevel="0" collapsed="false">
      <c r="A1151" s="4" t="n">
        <v>23</v>
      </c>
      <c r="B1151" s="4" t="n">
        <v>214</v>
      </c>
      <c r="C1151" s="4" t="n">
        <v>150</v>
      </c>
      <c r="D1151" s="4" t="n">
        <v>135</v>
      </c>
      <c r="E1151" s="6" t="n">
        <v>11.7987062399141</v>
      </c>
      <c r="F1151" s="6" t="n">
        <f aca="false">D1151+E1151</f>
        <v>146.798706239914</v>
      </c>
      <c r="G1151" s="6" t="n">
        <f aca="false">F1151-C1151</f>
        <v>-3.20129376008592</v>
      </c>
      <c r="H1151" s="4" t="str">
        <f aca="false">IF(G1151&gt;2,"LATE",IF(G1151&lt;-13,"EARLY","IN"))</f>
        <v>IN</v>
      </c>
      <c r="I1151" s="4" t="n">
        <f aca="false">C1151-D1151</f>
        <v>15</v>
      </c>
    </row>
    <row r="1152" customFormat="false" ht="15" hidden="false" customHeight="false" outlineLevel="0" collapsed="false">
      <c r="A1152" s="4" t="n">
        <v>24</v>
      </c>
      <c r="B1152" s="4" t="n">
        <v>5</v>
      </c>
      <c r="C1152" s="4" t="n">
        <v>357</v>
      </c>
      <c r="D1152" s="4" t="n">
        <v>324</v>
      </c>
      <c r="E1152" s="6" t="n">
        <v>16.1289897909975</v>
      </c>
      <c r="F1152" s="6" t="n">
        <f aca="false">D1152+E1152</f>
        <v>340.128989790998</v>
      </c>
      <c r="G1152" s="6" t="n">
        <f aca="false">F1152-C1152</f>
        <v>-16.8710102090025</v>
      </c>
      <c r="H1152" s="4" t="str">
        <f aca="false">IF(G1152&gt;2,"LATE",IF(G1152&lt;-13,"EARLY","IN"))</f>
        <v>EARLY</v>
      </c>
      <c r="I1152" s="4" t="n">
        <f aca="false">C1152-D1152</f>
        <v>33</v>
      </c>
    </row>
    <row r="1153" customFormat="false" ht="15" hidden="false" customHeight="false" outlineLevel="0" collapsed="false">
      <c r="A1153" s="4" t="n">
        <v>24</v>
      </c>
      <c r="B1153" s="4" t="n">
        <v>6</v>
      </c>
      <c r="C1153" s="4" t="n">
        <v>225</v>
      </c>
      <c r="D1153" s="4" t="n">
        <v>210</v>
      </c>
      <c r="E1153" s="6" t="n">
        <v>10.6548824042204</v>
      </c>
      <c r="F1153" s="6" t="n">
        <f aca="false">D1153+E1153</f>
        <v>220.65488240422</v>
      </c>
      <c r="G1153" s="6" t="n">
        <f aca="false">F1153-C1153</f>
        <v>-4.34511759577958</v>
      </c>
      <c r="H1153" s="4" t="str">
        <f aca="false">IF(G1153&gt;2,"LATE",IF(G1153&lt;-13,"EARLY","IN"))</f>
        <v>IN</v>
      </c>
      <c r="I1153" s="4" t="n">
        <f aca="false">C1153-D1153</f>
        <v>15</v>
      </c>
    </row>
    <row r="1154" customFormat="false" ht="15" hidden="false" customHeight="false" outlineLevel="0" collapsed="false">
      <c r="A1154" s="4" t="n">
        <v>24</v>
      </c>
      <c r="B1154" s="4" t="n">
        <v>8</v>
      </c>
      <c r="C1154" s="4" t="n">
        <v>276</v>
      </c>
      <c r="D1154" s="4" t="n">
        <v>259</v>
      </c>
      <c r="E1154" s="6" t="n">
        <v>12.4107857351286</v>
      </c>
      <c r="F1154" s="6" t="n">
        <f aca="false">D1154+E1154</f>
        <v>271.410785735129</v>
      </c>
      <c r="G1154" s="6" t="n">
        <f aca="false">F1154-C1154</f>
        <v>-4.58921426487143</v>
      </c>
      <c r="H1154" s="4" t="str">
        <f aca="false">IF(G1154&gt;2,"LATE",IF(G1154&lt;-13,"EARLY","IN"))</f>
        <v>IN</v>
      </c>
      <c r="I1154" s="4" t="n">
        <f aca="false">C1154-D1154</f>
        <v>17</v>
      </c>
    </row>
    <row r="1155" customFormat="false" ht="15" hidden="false" customHeight="false" outlineLevel="0" collapsed="false">
      <c r="A1155" s="4" t="n">
        <v>24</v>
      </c>
      <c r="B1155" s="4" t="n">
        <v>16</v>
      </c>
      <c r="C1155" s="4" t="n">
        <v>172</v>
      </c>
      <c r="D1155" s="4" t="n">
        <v>152</v>
      </c>
      <c r="E1155" s="6" t="n">
        <v>14.4977294302711</v>
      </c>
      <c r="F1155" s="6" t="n">
        <f aca="false">D1155+E1155</f>
        <v>166.497729430271</v>
      </c>
      <c r="G1155" s="6" t="n">
        <f aca="false">F1155-C1155</f>
        <v>-5.50227056972889</v>
      </c>
      <c r="H1155" s="4" t="str">
        <f aca="false">IF(G1155&gt;2,"LATE",IF(G1155&lt;-13,"EARLY","IN"))</f>
        <v>IN</v>
      </c>
      <c r="I1155" s="4" t="n">
        <f aca="false">C1155-D1155</f>
        <v>20</v>
      </c>
    </row>
    <row r="1156" customFormat="false" ht="15" hidden="false" customHeight="false" outlineLevel="0" collapsed="false">
      <c r="A1156" s="4" t="n">
        <v>24</v>
      </c>
      <c r="B1156" s="4" t="n">
        <v>23</v>
      </c>
      <c r="C1156" s="4" t="n">
        <v>213</v>
      </c>
      <c r="D1156" s="4" t="n">
        <v>190</v>
      </c>
      <c r="E1156" s="6" t="n">
        <v>18.5013368952216</v>
      </c>
      <c r="F1156" s="6" t="n">
        <f aca="false">D1156+E1156</f>
        <v>208.501336895222</v>
      </c>
      <c r="G1156" s="6" t="n">
        <f aca="false">F1156-C1156</f>
        <v>-4.49866310477842</v>
      </c>
      <c r="H1156" s="4" t="str">
        <f aca="false">IF(G1156&gt;2,"LATE",IF(G1156&lt;-13,"EARLY","IN"))</f>
        <v>IN</v>
      </c>
      <c r="I1156" s="4" t="n">
        <f aca="false">C1156-D1156</f>
        <v>23</v>
      </c>
    </row>
    <row r="1157" customFormat="false" ht="15" hidden="false" customHeight="false" outlineLevel="0" collapsed="false">
      <c r="A1157" s="4" t="n">
        <v>24</v>
      </c>
      <c r="B1157" s="4" t="n">
        <v>42</v>
      </c>
      <c r="C1157" s="4" t="n">
        <v>241</v>
      </c>
      <c r="D1157" s="4" t="n">
        <v>223</v>
      </c>
      <c r="E1157" s="6" t="n">
        <v>14.461355292845</v>
      </c>
      <c r="F1157" s="6" t="n">
        <f aca="false">D1157+E1157</f>
        <v>237.461355292845</v>
      </c>
      <c r="G1157" s="6" t="n">
        <f aca="false">F1157-C1157</f>
        <v>-3.53864470715502</v>
      </c>
      <c r="H1157" s="4" t="str">
        <f aca="false">IF(G1157&gt;2,"LATE",IF(G1157&lt;-13,"EARLY","IN"))</f>
        <v>IN</v>
      </c>
      <c r="I1157" s="4" t="n">
        <f aca="false">C1157-D1157</f>
        <v>18</v>
      </c>
    </row>
    <row r="1158" customFormat="false" ht="15" hidden="false" customHeight="false" outlineLevel="0" collapsed="false">
      <c r="A1158" s="4" t="n">
        <v>24</v>
      </c>
      <c r="B1158" s="4" t="n">
        <v>44</v>
      </c>
      <c r="C1158" s="4" t="n">
        <v>233</v>
      </c>
      <c r="D1158" s="4" t="n">
        <v>218</v>
      </c>
      <c r="E1158" s="6" t="n">
        <v>17.4030731385053</v>
      </c>
      <c r="F1158" s="6" t="n">
        <f aca="false">D1158+E1158</f>
        <v>235.403073138505</v>
      </c>
      <c r="G1158" s="6" t="n">
        <f aca="false">F1158-C1158</f>
        <v>2.40307313850533</v>
      </c>
      <c r="H1158" s="4" t="str">
        <f aca="false">IF(G1158&gt;2,"LATE",IF(G1158&lt;-13,"EARLY","IN"))</f>
        <v>LATE</v>
      </c>
      <c r="I1158" s="4" t="n">
        <f aca="false">C1158-D1158</f>
        <v>15</v>
      </c>
    </row>
    <row r="1159" customFormat="false" ht="15" hidden="false" customHeight="false" outlineLevel="0" collapsed="false">
      <c r="A1159" s="4" t="n">
        <v>24</v>
      </c>
      <c r="B1159" s="4" t="n">
        <v>45</v>
      </c>
      <c r="C1159" s="4" t="n">
        <v>242</v>
      </c>
      <c r="D1159" s="4" t="n">
        <v>222</v>
      </c>
      <c r="E1159" s="6" t="n">
        <v>16.1848827284256</v>
      </c>
      <c r="F1159" s="6" t="n">
        <f aca="false">D1159+E1159</f>
        <v>238.184882728426</v>
      </c>
      <c r="G1159" s="6" t="n">
        <f aca="false">F1159-C1159</f>
        <v>-3.81511727157442</v>
      </c>
      <c r="H1159" s="4" t="str">
        <f aca="false">IF(G1159&gt;2,"LATE",IF(G1159&lt;-13,"EARLY","IN"))</f>
        <v>IN</v>
      </c>
      <c r="I1159" s="4" t="n">
        <f aca="false">C1159-D1159</f>
        <v>20</v>
      </c>
    </row>
    <row r="1160" customFormat="false" ht="15" hidden="false" customHeight="false" outlineLevel="0" collapsed="false">
      <c r="A1160" s="4" t="n">
        <v>24</v>
      </c>
      <c r="B1160" s="4" t="n">
        <v>47</v>
      </c>
      <c r="C1160" s="4" t="n">
        <v>227</v>
      </c>
      <c r="D1160" s="4" t="n">
        <v>206</v>
      </c>
      <c r="E1160" s="6" t="n">
        <v>15.420487914185</v>
      </c>
      <c r="F1160" s="6" t="n">
        <f aca="false">D1160+E1160</f>
        <v>221.420487914185</v>
      </c>
      <c r="G1160" s="6" t="n">
        <f aca="false">F1160-C1160</f>
        <v>-5.57951208581505</v>
      </c>
      <c r="H1160" s="4" t="str">
        <f aca="false">IF(G1160&gt;2,"LATE",IF(G1160&lt;-13,"EARLY","IN"))</f>
        <v>IN</v>
      </c>
      <c r="I1160" s="4" t="n">
        <f aca="false">C1160-D1160</f>
        <v>21</v>
      </c>
    </row>
    <row r="1161" customFormat="false" ht="15" hidden="false" customHeight="false" outlineLevel="0" collapsed="false">
      <c r="A1161" s="4" t="n">
        <v>24</v>
      </c>
      <c r="B1161" s="4" t="n">
        <v>55</v>
      </c>
      <c r="C1161" s="4" t="n">
        <v>147</v>
      </c>
      <c r="D1161" s="4" t="n">
        <v>131</v>
      </c>
      <c r="E1161" s="6" t="n">
        <v>14.5874358366523</v>
      </c>
      <c r="F1161" s="6" t="n">
        <f aca="false">D1161+E1161</f>
        <v>145.587435836652</v>
      </c>
      <c r="G1161" s="6" t="n">
        <f aca="false">F1161-C1161</f>
        <v>-1.41256416334767</v>
      </c>
      <c r="H1161" s="4" t="str">
        <f aca="false">IF(G1161&gt;2,"LATE",IF(G1161&lt;-13,"EARLY","IN"))</f>
        <v>IN</v>
      </c>
      <c r="I1161" s="4" t="n">
        <f aca="false">C1161-D1161</f>
        <v>16</v>
      </c>
    </row>
    <row r="1162" customFormat="false" ht="15" hidden="false" customHeight="false" outlineLevel="0" collapsed="false">
      <c r="A1162" s="4" t="n">
        <v>24</v>
      </c>
      <c r="B1162" s="4" t="n">
        <v>65</v>
      </c>
      <c r="C1162" s="4" t="n">
        <v>209</v>
      </c>
      <c r="D1162" s="4" t="n">
        <v>193</v>
      </c>
      <c r="E1162" s="6" t="n">
        <v>13.2337366800987</v>
      </c>
      <c r="F1162" s="6" t="n">
        <f aca="false">D1162+E1162</f>
        <v>206.233736680099</v>
      </c>
      <c r="G1162" s="6" t="n">
        <f aca="false">F1162-C1162</f>
        <v>-2.76626331990133</v>
      </c>
      <c r="H1162" s="4" t="str">
        <f aca="false">IF(G1162&gt;2,"LATE",IF(G1162&lt;-13,"EARLY","IN"))</f>
        <v>IN</v>
      </c>
      <c r="I1162" s="4" t="n">
        <f aca="false">C1162-D1162</f>
        <v>16</v>
      </c>
    </row>
    <row r="1163" customFormat="false" ht="15" hidden="false" customHeight="false" outlineLevel="0" collapsed="false">
      <c r="A1163" s="4" t="n">
        <v>24</v>
      </c>
      <c r="B1163" s="4" t="n">
        <v>67</v>
      </c>
      <c r="C1163" s="4" t="n">
        <v>145</v>
      </c>
      <c r="D1163" s="4" t="n">
        <v>131</v>
      </c>
      <c r="E1163" s="6" t="n">
        <v>13.0661051888837</v>
      </c>
      <c r="F1163" s="6" t="n">
        <f aca="false">D1163+E1163</f>
        <v>144.066105188884</v>
      </c>
      <c r="G1163" s="6" t="n">
        <f aca="false">F1163-C1163</f>
        <v>-0.933894811116261</v>
      </c>
      <c r="H1163" s="4" t="str">
        <f aca="false">IF(G1163&gt;2,"LATE",IF(G1163&lt;-13,"EARLY","IN"))</f>
        <v>IN</v>
      </c>
      <c r="I1163" s="4" t="n">
        <f aca="false">C1163-D1163</f>
        <v>14</v>
      </c>
    </row>
    <row r="1164" customFormat="false" ht="15" hidden="false" customHeight="false" outlineLevel="0" collapsed="false">
      <c r="A1164" s="4" t="n">
        <v>24</v>
      </c>
      <c r="B1164" s="4" t="n">
        <v>68</v>
      </c>
      <c r="C1164" s="4" t="n">
        <v>204</v>
      </c>
      <c r="D1164" s="4" t="n">
        <v>186</v>
      </c>
      <c r="E1164" s="6" t="n">
        <v>13.7927908009978</v>
      </c>
      <c r="F1164" s="6" t="n">
        <f aca="false">D1164+E1164</f>
        <v>199.792790800998</v>
      </c>
      <c r="G1164" s="6" t="n">
        <f aca="false">F1164-C1164</f>
        <v>-4.20720919900219</v>
      </c>
      <c r="H1164" s="4" t="str">
        <f aca="false">IF(G1164&gt;2,"LATE",IF(G1164&lt;-13,"EARLY","IN"))</f>
        <v>IN</v>
      </c>
      <c r="I1164" s="4" t="n">
        <f aca="false">C1164-D1164</f>
        <v>18</v>
      </c>
    </row>
    <row r="1165" customFormat="false" ht="15" hidden="false" customHeight="false" outlineLevel="0" collapsed="false">
      <c r="A1165" s="4" t="n">
        <v>24</v>
      </c>
      <c r="B1165" s="4" t="n">
        <v>69</v>
      </c>
      <c r="C1165" s="4" t="n">
        <v>170</v>
      </c>
      <c r="D1165" s="4" t="n">
        <v>157</v>
      </c>
      <c r="E1165" s="6" t="n">
        <v>11.0306384636261</v>
      </c>
      <c r="F1165" s="6" t="n">
        <f aca="false">D1165+E1165</f>
        <v>168.030638463626</v>
      </c>
      <c r="G1165" s="6" t="n">
        <f aca="false">F1165-C1165</f>
        <v>-1.96936153637392</v>
      </c>
      <c r="H1165" s="4" t="str">
        <f aca="false">IF(G1165&gt;2,"LATE",IF(G1165&lt;-13,"EARLY","IN"))</f>
        <v>IN</v>
      </c>
      <c r="I1165" s="4" t="n">
        <f aca="false">C1165-D1165</f>
        <v>13</v>
      </c>
    </row>
    <row r="1166" customFormat="false" ht="15" hidden="false" customHeight="false" outlineLevel="0" collapsed="false">
      <c r="A1166" s="4" t="n">
        <v>24</v>
      </c>
      <c r="B1166" s="4" t="n">
        <v>72</v>
      </c>
      <c r="C1166" s="4" t="n">
        <v>235</v>
      </c>
      <c r="D1166" s="4" t="n">
        <v>207</v>
      </c>
      <c r="E1166" s="6" t="n">
        <v>16.1896499303463</v>
      </c>
      <c r="F1166" s="6" t="n">
        <f aca="false">D1166+E1166</f>
        <v>223.189649930346</v>
      </c>
      <c r="G1166" s="6" t="n">
        <f aca="false">F1166-C1166</f>
        <v>-11.8103500696537</v>
      </c>
      <c r="H1166" s="4" t="str">
        <f aca="false">IF(G1166&gt;2,"LATE",IF(G1166&lt;-13,"EARLY","IN"))</f>
        <v>IN</v>
      </c>
      <c r="I1166" s="4" t="n">
        <f aca="false">C1166-D1166</f>
        <v>28</v>
      </c>
    </row>
    <row r="1167" customFormat="false" ht="15" hidden="false" customHeight="false" outlineLevel="0" collapsed="false">
      <c r="A1167" s="4" t="n">
        <v>24</v>
      </c>
      <c r="B1167" s="4" t="n">
        <v>77</v>
      </c>
      <c r="C1167" s="4" t="n">
        <v>174</v>
      </c>
      <c r="D1167" s="4" t="n">
        <v>156</v>
      </c>
      <c r="E1167" s="6" t="n">
        <v>15.9694656985608</v>
      </c>
      <c r="F1167" s="6" t="n">
        <f aca="false">D1167+E1167</f>
        <v>171.969465698561</v>
      </c>
      <c r="G1167" s="6" t="n">
        <f aca="false">F1167-C1167</f>
        <v>-2.03053430143922</v>
      </c>
      <c r="H1167" s="4" t="str">
        <f aca="false">IF(G1167&gt;2,"LATE",IF(G1167&lt;-13,"EARLY","IN"))</f>
        <v>IN</v>
      </c>
      <c r="I1167" s="4" t="n">
        <f aca="false">C1167-D1167</f>
        <v>18</v>
      </c>
    </row>
    <row r="1168" customFormat="false" ht="15" hidden="false" customHeight="false" outlineLevel="0" collapsed="false">
      <c r="A1168" s="4" t="n">
        <v>24</v>
      </c>
      <c r="B1168" s="4" t="n">
        <v>81</v>
      </c>
      <c r="C1168" s="4" t="n">
        <v>199</v>
      </c>
      <c r="D1168" s="4" t="n">
        <v>184</v>
      </c>
      <c r="E1168" s="6" t="n">
        <v>5.6492985714027</v>
      </c>
      <c r="F1168" s="6" t="n">
        <f aca="false">D1168+E1168</f>
        <v>189.649298571403</v>
      </c>
      <c r="G1168" s="6" t="n">
        <f aca="false">F1168-C1168</f>
        <v>-9.35070142859729</v>
      </c>
      <c r="H1168" s="4" t="str">
        <f aca="false">IF(G1168&gt;2,"LATE",IF(G1168&lt;-13,"EARLY","IN"))</f>
        <v>IN</v>
      </c>
      <c r="I1168" s="4" t="n">
        <f aca="false">C1168-D1168</f>
        <v>15</v>
      </c>
    </row>
    <row r="1169" customFormat="false" ht="15" hidden="false" customHeight="false" outlineLevel="0" collapsed="false">
      <c r="A1169" s="4" t="n">
        <v>24</v>
      </c>
      <c r="B1169" s="4" t="n">
        <v>89</v>
      </c>
      <c r="C1169" s="4" t="n">
        <v>225</v>
      </c>
      <c r="D1169" s="4" t="n">
        <v>204</v>
      </c>
      <c r="E1169" s="6" t="n">
        <v>17.3017058220874</v>
      </c>
      <c r="F1169" s="6" t="n">
        <f aca="false">D1169+E1169</f>
        <v>221.301705822087</v>
      </c>
      <c r="G1169" s="6" t="n">
        <f aca="false">F1169-C1169</f>
        <v>-3.69829417791263</v>
      </c>
      <c r="H1169" s="4" t="str">
        <f aca="false">IF(G1169&gt;2,"LATE",IF(G1169&lt;-13,"EARLY","IN"))</f>
        <v>IN</v>
      </c>
      <c r="I1169" s="4" t="n">
        <f aca="false">C1169-D1169</f>
        <v>21</v>
      </c>
    </row>
    <row r="1170" customFormat="false" ht="15" hidden="false" customHeight="false" outlineLevel="0" collapsed="false">
      <c r="A1170" s="4" t="n">
        <v>24</v>
      </c>
      <c r="B1170" s="4" t="n">
        <v>92</v>
      </c>
      <c r="C1170" s="4" t="n">
        <v>207</v>
      </c>
      <c r="D1170" s="4" t="n">
        <v>189</v>
      </c>
      <c r="E1170" s="6" t="n">
        <v>15.8582658820899</v>
      </c>
      <c r="F1170" s="6" t="n">
        <f aca="false">D1170+E1170</f>
        <v>204.85826588209</v>
      </c>
      <c r="G1170" s="6" t="n">
        <f aca="false">F1170-C1170</f>
        <v>-2.14173411791009</v>
      </c>
      <c r="H1170" s="4" t="str">
        <f aca="false">IF(G1170&gt;2,"LATE",IF(G1170&lt;-13,"EARLY","IN"))</f>
        <v>IN</v>
      </c>
      <c r="I1170" s="4" t="n">
        <f aca="false">C1170-D1170</f>
        <v>18</v>
      </c>
    </row>
    <row r="1171" customFormat="false" ht="15" hidden="false" customHeight="false" outlineLevel="0" collapsed="false">
      <c r="A1171" s="4" t="n">
        <v>24</v>
      </c>
      <c r="B1171" s="4" t="n">
        <v>94</v>
      </c>
      <c r="C1171" s="4" t="n">
        <v>209</v>
      </c>
      <c r="D1171" s="4" t="n">
        <v>191</v>
      </c>
      <c r="E1171" s="6" t="n">
        <v>13.3102148432158</v>
      </c>
      <c r="F1171" s="6" t="n">
        <f aca="false">D1171+E1171</f>
        <v>204.310214843216</v>
      </c>
      <c r="G1171" s="6" t="n">
        <f aca="false">F1171-C1171</f>
        <v>-4.68978515678418</v>
      </c>
      <c r="H1171" s="4" t="str">
        <f aca="false">IF(G1171&gt;2,"LATE",IF(G1171&lt;-13,"EARLY","IN"))</f>
        <v>IN</v>
      </c>
      <c r="I1171" s="4" t="n">
        <f aca="false">C1171-D1171</f>
        <v>18</v>
      </c>
    </row>
    <row r="1172" customFormat="false" ht="15" hidden="false" customHeight="false" outlineLevel="0" collapsed="false">
      <c r="A1172" s="4" t="n">
        <v>24</v>
      </c>
      <c r="B1172" s="4" t="n">
        <v>95</v>
      </c>
      <c r="C1172" s="4" t="n">
        <v>234</v>
      </c>
      <c r="D1172" s="4" t="n">
        <v>214</v>
      </c>
      <c r="E1172" s="6" t="n">
        <v>8.32302297468559</v>
      </c>
      <c r="F1172" s="6" t="n">
        <f aca="false">D1172+E1172</f>
        <v>222.323022974686</v>
      </c>
      <c r="G1172" s="6" t="n">
        <f aca="false">F1172-C1172</f>
        <v>-11.6769770253144</v>
      </c>
      <c r="H1172" s="4" t="str">
        <f aca="false">IF(G1172&gt;2,"LATE",IF(G1172&lt;-13,"EARLY","IN"))</f>
        <v>IN</v>
      </c>
      <c r="I1172" s="4" t="n">
        <f aca="false">C1172-D1172</f>
        <v>20</v>
      </c>
    </row>
    <row r="1173" customFormat="false" ht="15" hidden="false" customHeight="false" outlineLevel="0" collapsed="false">
      <c r="A1173" s="4" t="n">
        <v>24</v>
      </c>
      <c r="B1173" s="4" t="n">
        <v>104</v>
      </c>
      <c r="C1173" s="4" t="n">
        <v>178</v>
      </c>
      <c r="D1173" s="4" t="n">
        <v>162</v>
      </c>
      <c r="E1173" s="6" t="n">
        <v>15.0114581106208</v>
      </c>
      <c r="F1173" s="6" t="n">
        <f aca="false">D1173+E1173</f>
        <v>177.011458110621</v>
      </c>
      <c r="G1173" s="6" t="n">
        <f aca="false">F1173-C1173</f>
        <v>-0.988541889379178</v>
      </c>
      <c r="H1173" s="4" t="str">
        <f aca="false">IF(G1173&gt;2,"LATE",IF(G1173&lt;-13,"EARLY","IN"))</f>
        <v>IN</v>
      </c>
      <c r="I1173" s="4" t="n">
        <f aca="false">C1173-D1173</f>
        <v>16</v>
      </c>
    </row>
    <row r="1174" customFormat="false" ht="15" hidden="false" customHeight="false" outlineLevel="0" collapsed="false">
      <c r="A1174" s="4" t="n">
        <v>24</v>
      </c>
      <c r="B1174" s="4" t="n">
        <v>107</v>
      </c>
      <c r="C1174" s="4" t="n">
        <v>200</v>
      </c>
      <c r="D1174" s="4" t="n">
        <v>185</v>
      </c>
      <c r="E1174" s="6" t="n">
        <v>15.7868782240853</v>
      </c>
      <c r="F1174" s="6" t="n">
        <f aca="false">D1174+E1174</f>
        <v>200.786878224085</v>
      </c>
      <c r="G1174" s="6" t="n">
        <f aca="false">F1174-C1174</f>
        <v>0.786878224085314</v>
      </c>
      <c r="H1174" s="4" t="str">
        <f aca="false">IF(G1174&gt;2,"LATE",IF(G1174&lt;-13,"EARLY","IN"))</f>
        <v>IN</v>
      </c>
      <c r="I1174" s="4" t="n">
        <f aca="false">C1174-D1174</f>
        <v>15</v>
      </c>
    </row>
    <row r="1175" customFormat="false" ht="15" hidden="false" customHeight="false" outlineLevel="0" collapsed="false">
      <c r="A1175" s="4" t="n">
        <v>24</v>
      </c>
      <c r="B1175" s="4" t="n">
        <v>110</v>
      </c>
      <c r="C1175" s="4" t="n">
        <v>277</v>
      </c>
      <c r="D1175" s="4" t="n">
        <v>250</v>
      </c>
      <c r="E1175" s="6" t="n">
        <v>12.7684465690914</v>
      </c>
      <c r="F1175" s="6" t="n">
        <f aca="false">D1175+E1175</f>
        <v>262.768446569091</v>
      </c>
      <c r="G1175" s="6" t="n">
        <f aca="false">F1175-C1175</f>
        <v>-14.2315534309086</v>
      </c>
      <c r="H1175" s="4" t="str">
        <f aca="false">IF(G1175&gt;2,"LATE",IF(G1175&lt;-13,"EARLY","IN"))</f>
        <v>EARLY</v>
      </c>
      <c r="I1175" s="4" t="n">
        <f aca="false">C1175-D1175</f>
        <v>27</v>
      </c>
    </row>
    <row r="1176" customFormat="false" ht="15" hidden="false" customHeight="false" outlineLevel="0" collapsed="false">
      <c r="A1176" s="4" t="n">
        <v>24</v>
      </c>
      <c r="B1176" s="4" t="n">
        <v>111</v>
      </c>
      <c r="C1176" s="4" t="n">
        <v>227</v>
      </c>
      <c r="D1176" s="4" t="n">
        <v>208</v>
      </c>
      <c r="E1176" s="6" t="n">
        <v>16.318663549779</v>
      </c>
      <c r="F1176" s="6" t="n">
        <f aca="false">D1176+E1176</f>
        <v>224.318663549779</v>
      </c>
      <c r="G1176" s="6" t="n">
        <f aca="false">F1176-C1176</f>
        <v>-2.68133645022101</v>
      </c>
      <c r="H1176" s="4" t="str">
        <f aca="false">IF(G1176&gt;2,"LATE",IF(G1176&lt;-13,"EARLY","IN"))</f>
        <v>IN</v>
      </c>
      <c r="I1176" s="4" t="n">
        <f aca="false">C1176-D1176</f>
        <v>19</v>
      </c>
    </row>
    <row r="1177" customFormat="false" ht="15" hidden="false" customHeight="false" outlineLevel="0" collapsed="false">
      <c r="A1177" s="4" t="n">
        <v>24</v>
      </c>
      <c r="B1177" s="4" t="n">
        <v>112</v>
      </c>
      <c r="C1177" s="4" t="n">
        <v>226</v>
      </c>
      <c r="D1177" s="4" t="n">
        <v>212</v>
      </c>
      <c r="E1177" s="6" t="n">
        <v>8.69176307918673</v>
      </c>
      <c r="F1177" s="6" t="n">
        <f aca="false">D1177+E1177</f>
        <v>220.691763079187</v>
      </c>
      <c r="G1177" s="6" t="n">
        <f aca="false">F1177-C1177</f>
        <v>-5.30823692081327</v>
      </c>
      <c r="H1177" s="4" t="str">
        <f aca="false">IF(G1177&gt;2,"LATE",IF(G1177&lt;-13,"EARLY","IN"))</f>
        <v>IN</v>
      </c>
      <c r="I1177" s="4" t="n">
        <f aca="false">C1177-D1177</f>
        <v>14</v>
      </c>
    </row>
    <row r="1178" customFormat="false" ht="15" hidden="false" customHeight="false" outlineLevel="0" collapsed="false">
      <c r="A1178" s="4" t="n">
        <v>24</v>
      </c>
      <c r="B1178" s="4" t="n">
        <v>113</v>
      </c>
      <c r="C1178" s="4" t="n">
        <v>160</v>
      </c>
      <c r="D1178" s="4" t="n">
        <v>140</v>
      </c>
      <c r="E1178" s="6" t="n">
        <v>16.8737979992974</v>
      </c>
      <c r="F1178" s="6" t="n">
        <f aca="false">D1178+E1178</f>
        <v>156.873797999297</v>
      </c>
      <c r="G1178" s="6" t="n">
        <f aca="false">F1178-C1178</f>
        <v>-3.12620200070259</v>
      </c>
      <c r="H1178" s="4" t="str">
        <f aca="false">IF(G1178&gt;2,"LATE",IF(G1178&lt;-13,"EARLY","IN"))</f>
        <v>IN</v>
      </c>
      <c r="I1178" s="4" t="n">
        <f aca="false">C1178-D1178</f>
        <v>20</v>
      </c>
    </row>
    <row r="1179" customFormat="false" ht="15" hidden="false" customHeight="false" outlineLevel="0" collapsed="false">
      <c r="A1179" s="4" t="n">
        <v>24</v>
      </c>
      <c r="B1179" s="4" t="n">
        <v>118</v>
      </c>
      <c r="C1179" s="4" t="n">
        <v>188</v>
      </c>
      <c r="D1179" s="4" t="n">
        <v>167</v>
      </c>
      <c r="E1179" s="6" t="n">
        <v>17.9384960572179</v>
      </c>
      <c r="F1179" s="6" t="n">
        <f aca="false">D1179+E1179</f>
        <v>184.938496057218</v>
      </c>
      <c r="G1179" s="6" t="n">
        <f aca="false">F1179-C1179</f>
        <v>-3.06150394278214</v>
      </c>
      <c r="H1179" s="4" t="str">
        <f aca="false">IF(G1179&gt;2,"LATE",IF(G1179&lt;-13,"EARLY","IN"))</f>
        <v>IN</v>
      </c>
      <c r="I1179" s="4" t="n">
        <f aca="false">C1179-D1179</f>
        <v>21</v>
      </c>
    </row>
    <row r="1180" customFormat="false" ht="15" hidden="false" customHeight="false" outlineLevel="0" collapsed="false">
      <c r="A1180" s="4" t="n">
        <v>24</v>
      </c>
      <c r="B1180" s="4" t="n">
        <v>127</v>
      </c>
      <c r="C1180" s="4" t="n">
        <v>163</v>
      </c>
      <c r="D1180" s="4" t="n">
        <v>140</v>
      </c>
      <c r="E1180" s="6" t="n">
        <v>14.6286204475233</v>
      </c>
      <c r="F1180" s="6" t="n">
        <f aca="false">D1180+E1180</f>
        <v>154.628620447523</v>
      </c>
      <c r="G1180" s="6" t="n">
        <f aca="false">F1180-C1180</f>
        <v>-8.3713795524767</v>
      </c>
      <c r="H1180" s="4" t="str">
        <f aca="false">IF(G1180&gt;2,"LATE",IF(G1180&lt;-13,"EARLY","IN"))</f>
        <v>IN</v>
      </c>
      <c r="I1180" s="4" t="n">
        <f aca="false">C1180-D1180</f>
        <v>23</v>
      </c>
    </row>
    <row r="1181" customFormat="false" ht="15" hidden="false" customHeight="false" outlineLevel="0" collapsed="false">
      <c r="A1181" s="4" t="n">
        <v>24</v>
      </c>
      <c r="B1181" s="4" t="n">
        <v>132</v>
      </c>
      <c r="C1181" s="4" t="n">
        <v>199</v>
      </c>
      <c r="D1181" s="4" t="n">
        <v>187</v>
      </c>
      <c r="E1181" s="6" t="n">
        <v>16.1788644095986</v>
      </c>
      <c r="F1181" s="6" t="n">
        <f aca="false">D1181+E1181</f>
        <v>203.178864409599</v>
      </c>
      <c r="G1181" s="6" t="n">
        <f aca="false">F1181-C1181</f>
        <v>4.17886440959865</v>
      </c>
      <c r="H1181" s="4" t="str">
        <f aca="false">IF(G1181&gt;2,"LATE",IF(G1181&lt;-13,"EARLY","IN"))</f>
        <v>LATE</v>
      </c>
      <c r="I1181" s="4" t="n">
        <f aca="false">C1181-D1181</f>
        <v>12</v>
      </c>
    </row>
    <row r="1182" customFormat="false" ht="15" hidden="false" customHeight="false" outlineLevel="0" collapsed="false">
      <c r="A1182" s="4" t="n">
        <v>24</v>
      </c>
      <c r="B1182" s="4" t="n">
        <v>139</v>
      </c>
      <c r="C1182" s="4" t="n">
        <v>211</v>
      </c>
      <c r="D1182" s="4" t="n">
        <v>198</v>
      </c>
      <c r="E1182" s="6" t="n">
        <v>12.1498052855055</v>
      </c>
      <c r="F1182" s="6" t="n">
        <f aca="false">D1182+E1182</f>
        <v>210.149805285505</v>
      </c>
      <c r="G1182" s="6" t="n">
        <f aca="false">F1182-C1182</f>
        <v>-0.850194714494535</v>
      </c>
      <c r="H1182" s="4" t="str">
        <f aca="false">IF(G1182&gt;2,"LATE",IF(G1182&lt;-13,"EARLY","IN"))</f>
        <v>IN</v>
      </c>
      <c r="I1182" s="4" t="n">
        <f aca="false">C1182-D1182</f>
        <v>13</v>
      </c>
    </row>
    <row r="1183" customFormat="false" ht="15" hidden="false" customHeight="false" outlineLevel="0" collapsed="false">
      <c r="A1183" s="4" t="n">
        <v>24</v>
      </c>
      <c r="B1183" s="4" t="n">
        <v>147</v>
      </c>
      <c r="C1183" s="4" t="n">
        <v>323</v>
      </c>
      <c r="D1183" s="4" t="n">
        <v>287</v>
      </c>
      <c r="E1183" s="6" t="n">
        <v>16.0234764721909</v>
      </c>
      <c r="F1183" s="6" t="n">
        <f aca="false">D1183+E1183</f>
        <v>303.023476472191</v>
      </c>
      <c r="G1183" s="6" t="n">
        <f aca="false">F1183-C1183</f>
        <v>-19.9765235278092</v>
      </c>
      <c r="H1183" s="4" t="str">
        <f aca="false">IF(G1183&gt;2,"LATE",IF(G1183&lt;-13,"EARLY","IN"))</f>
        <v>EARLY</v>
      </c>
      <c r="I1183" s="4" t="n">
        <f aca="false">C1183-D1183</f>
        <v>36</v>
      </c>
    </row>
    <row r="1184" customFormat="false" ht="15" hidden="false" customHeight="false" outlineLevel="0" collapsed="false">
      <c r="A1184" s="4" t="n">
        <v>24</v>
      </c>
      <c r="B1184" s="4" t="n">
        <v>149</v>
      </c>
      <c r="C1184" s="4" t="n">
        <v>192</v>
      </c>
      <c r="D1184" s="4" t="n">
        <v>169</v>
      </c>
      <c r="E1184" s="6" t="n">
        <v>17.6264099910327</v>
      </c>
      <c r="F1184" s="6" t="n">
        <f aca="false">D1184+E1184</f>
        <v>186.626409991033</v>
      </c>
      <c r="G1184" s="6" t="n">
        <f aca="false">F1184-C1184</f>
        <v>-5.37359000896734</v>
      </c>
      <c r="H1184" s="4" t="str">
        <f aca="false">IF(G1184&gt;2,"LATE",IF(G1184&lt;-13,"EARLY","IN"))</f>
        <v>IN</v>
      </c>
      <c r="I1184" s="4" t="n">
        <f aca="false">C1184-D1184</f>
        <v>23</v>
      </c>
    </row>
    <row r="1185" customFormat="false" ht="15" hidden="false" customHeight="false" outlineLevel="0" collapsed="false">
      <c r="A1185" s="4" t="n">
        <v>24</v>
      </c>
      <c r="B1185" s="4" t="n">
        <v>150</v>
      </c>
      <c r="C1185" s="4" t="n">
        <v>175</v>
      </c>
      <c r="D1185" s="4" t="n">
        <v>159</v>
      </c>
      <c r="E1185" s="6" t="n">
        <v>15.2642263309381</v>
      </c>
      <c r="F1185" s="6" t="n">
        <f aca="false">D1185+E1185</f>
        <v>174.264226330938</v>
      </c>
      <c r="G1185" s="6" t="n">
        <f aca="false">F1185-C1185</f>
        <v>-0.735773669061928</v>
      </c>
      <c r="H1185" s="4" t="str">
        <f aca="false">IF(G1185&gt;2,"LATE",IF(G1185&lt;-13,"EARLY","IN"))</f>
        <v>IN</v>
      </c>
      <c r="I1185" s="4" t="n">
        <f aca="false">C1185-D1185</f>
        <v>16</v>
      </c>
    </row>
    <row r="1186" customFormat="false" ht="15" hidden="false" customHeight="false" outlineLevel="0" collapsed="false">
      <c r="A1186" s="4" t="n">
        <v>24</v>
      </c>
      <c r="B1186" s="4" t="n">
        <v>151</v>
      </c>
      <c r="C1186" s="4" t="n">
        <v>317</v>
      </c>
      <c r="D1186" s="4" t="n">
        <v>295</v>
      </c>
      <c r="E1186" s="6" t="n">
        <v>12.3665421873867</v>
      </c>
      <c r="F1186" s="6" t="n">
        <f aca="false">D1186+E1186</f>
        <v>307.366542187387</v>
      </c>
      <c r="G1186" s="6" t="n">
        <f aca="false">F1186-C1186</f>
        <v>-9.6334578126133</v>
      </c>
      <c r="H1186" s="4" t="str">
        <f aca="false">IF(G1186&gt;2,"LATE",IF(G1186&lt;-13,"EARLY","IN"))</f>
        <v>IN</v>
      </c>
      <c r="I1186" s="4" t="n">
        <f aca="false">C1186-D1186</f>
        <v>22</v>
      </c>
    </row>
    <row r="1187" customFormat="false" ht="15" hidden="false" customHeight="false" outlineLevel="0" collapsed="false">
      <c r="A1187" s="4" t="n">
        <v>24</v>
      </c>
      <c r="B1187" s="4" t="n">
        <v>153</v>
      </c>
      <c r="C1187" s="4" t="n">
        <v>277</v>
      </c>
      <c r="D1187" s="4" t="n">
        <v>242</v>
      </c>
      <c r="E1187" s="6" t="n">
        <v>14.5202953624921</v>
      </c>
      <c r="F1187" s="6" t="n">
        <f aca="false">D1187+E1187</f>
        <v>256.520295362492</v>
      </c>
      <c r="G1187" s="6" t="n">
        <f aca="false">F1187-C1187</f>
        <v>-20.4797046375079</v>
      </c>
      <c r="H1187" s="4" t="str">
        <f aca="false">IF(G1187&gt;2,"LATE",IF(G1187&lt;-13,"EARLY","IN"))</f>
        <v>EARLY</v>
      </c>
      <c r="I1187" s="4" t="n">
        <f aca="false">C1187-D1187</f>
        <v>35</v>
      </c>
    </row>
    <row r="1188" customFormat="false" ht="15" hidden="false" customHeight="false" outlineLevel="0" collapsed="false">
      <c r="A1188" s="4" t="n">
        <v>24</v>
      </c>
      <c r="B1188" s="4" t="n">
        <v>154</v>
      </c>
      <c r="C1188" s="4" t="n">
        <v>171</v>
      </c>
      <c r="D1188" s="4" t="n">
        <v>151</v>
      </c>
      <c r="E1188" s="6" t="n">
        <v>11.8764302379553</v>
      </c>
      <c r="F1188" s="6" t="n">
        <f aca="false">D1188+E1188</f>
        <v>162.876430237955</v>
      </c>
      <c r="G1188" s="6" t="n">
        <f aca="false">F1188-C1188</f>
        <v>-8.12356976204472</v>
      </c>
      <c r="H1188" s="4" t="str">
        <f aca="false">IF(G1188&gt;2,"LATE",IF(G1188&lt;-13,"EARLY","IN"))</f>
        <v>IN</v>
      </c>
      <c r="I1188" s="4" t="n">
        <f aca="false">C1188-D1188</f>
        <v>20</v>
      </c>
    </row>
    <row r="1189" customFormat="false" ht="15" hidden="false" customHeight="false" outlineLevel="0" collapsed="false">
      <c r="A1189" s="4" t="n">
        <v>24</v>
      </c>
      <c r="B1189" s="4" t="n">
        <v>156</v>
      </c>
      <c r="C1189" s="4" t="n">
        <v>228</v>
      </c>
      <c r="D1189" s="4" t="n">
        <v>211</v>
      </c>
      <c r="E1189" s="6" t="n">
        <v>16.5307533908756</v>
      </c>
      <c r="F1189" s="6" t="n">
        <f aca="false">D1189+E1189</f>
        <v>227.530753390876</v>
      </c>
      <c r="G1189" s="6" t="n">
        <f aca="false">F1189-C1189</f>
        <v>-0.46924660912444</v>
      </c>
      <c r="H1189" s="4" t="str">
        <f aca="false">IF(G1189&gt;2,"LATE",IF(G1189&lt;-13,"EARLY","IN"))</f>
        <v>IN</v>
      </c>
      <c r="I1189" s="4" t="n">
        <f aca="false">C1189-D1189</f>
        <v>17</v>
      </c>
    </row>
    <row r="1190" customFormat="false" ht="15" hidden="false" customHeight="false" outlineLevel="0" collapsed="false">
      <c r="A1190" s="4" t="n">
        <v>24</v>
      </c>
      <c r="B1190" s="4" t="n">
        <v>161</v>
      </c>
      <c r="C1190" s="4" t="n">
        <v>184</v>
      </c>
      <c r="D1190" s="4" t="n">
        <v>169</v>
      </c>
      <c r="E1190" s="6" t="n">
        <v>13.1046557311257</v>
      </c>
      <c r="F1190" s="6" t="n">
        <f aca="false">D1190+E1190</f>
        <v>182.104655731126</v>
      </c>
      <c r="G1190" s="6" t="n">
        <f aca="false">F1190-C1190</f>
        <v>-1.89534426887428</v>
      </c>
      <c r="H1190" s="4" t="str">
        <f aca="false">IF(G1190&gt;2,"LATE",IF(G1190&lt;-13,"EARLY","IN"))</f>
        <v>IN</v>
      </c>
      <c r="I1190" s="4" t="n">
        <f aca="false">C1190-D1190</f>
        <v>15</v>
      </c>
    </row>
    <row r="1191" customFormat="false" ht="15" hidden="false" customHeight="false" outlineLevel="0" collapsed="false">
      <c r="A1191" s="4" t="n">
        <v>24</v>
      </c>
      <c r="B1191" s="4" t="n">
        <v>162</v>
      </c>
      <c r="C1191" s="4" t="n">
        <v>202</v>
      </c>
      <c r="D1191" s="4" t="n">
        <v>187</v>
      </c>
      <c r="E1191" s="6" t="n">
        <v>17.8701651689926</v>
      </c>
      <c r="F1191" s="6" t="n">
        <f aca="false">D1191+E1191</f>
        <v>204.870165168993</v>
      </c>
      <c r="G1191" s="6" t="n">
        <f aca="false">F1191-C1191</f>
        <v>2.87016516899263</v>
      </c>
      <c r="H1191" s="4" t="str">
        <f aca="false">IF(G1191&gt;2,"LATE",IF(G1191&lt;-13,"EARLY","IN"))</f>
        <v>LATE</v>
      </c>
      <c r="I1191" s="4" t="n">
        <f aca="false">C1191-D1191</f>
        <v>15</v>
      </c>
    </row>
    <row r="1192" customFormat="false" ht="15" hidden="false" customHeight="false" outlineLevel="0" collapsed="false">
      <c r="A1192" s="4" t="n">
        <v>24</v>
      </c>
      <c r="B1192" s="4" t="n">
        <v>164</v>
      </c>
      <c r="C1192" s="4" t="n">
        <v>211</v>
      </c>
      <c r="D1192" s="4" t="n">
        <v>194</v>
      </c>
      <c r="E1192" s="6" t="n">
        <v>14.3305113427683</v>
      </c>
      <c r="F1192" s="6" t="n">
        <f aca="false">D1192+E1192</f>
        <v>208.330511342768</v>
      </c>
      <c r="G1192" s="6" t="n">
        <f aca="false">F1192-C1192</f>
        <v>-2.66948865723174</v>
      </c>
      <c r="H1192" s="4" t="str">
        <f aca="false">IF(G1192&gt;2,"LATE",IF(G1192&lt;-13,"EARLY","IN"))</f>
        <v>IN</v>
      </c>
      <c r="I1192" s="4" t="n">
        <f aca="false">C1192-D1192</f>
        <v>17</v>
      </c>
    </row>
    <row r="1193" customFormat="false" ht="15" hidden="false" customHeight="false" outlineLevel="0" collapsed="false">
      <c r="A1193" s="4" t="n">
        <v>24</v>
      </c>
      <c r="B1193" s="4" t="n">
        <v>168</v>
      </c>
      <c r="C1193" s="4" t="n">
        <v>253</v>
      </c>
      <c r="D1193" s="4" t="n">
        <v>228</v>
      </c>
      <c r="E1193" s="6" t="n">
        <v>15.2397256377695</v>
      </c>
      <c r="F1193" s="6" t="n">
        <f aca="false">D1193+E1193</f>
        <v>243.23972563777</v>
      </c>
      <c r="G1193" s="6" t="n">
        <f aca="false">F1193-C1193</f>
        <v>-9.76027436223046</v>
      </c>
      <c r="H1193" s="4" t="str">
        <f aca="false">IF(G1193&gt;2,"LATE",IF(G1193&lt;-13,"EARLY","IN"))</f>
        <v>IN</v>
      </c>
      <c r="I1193" s="4" t="n">
        <f aca="false">C1193-D1193</f>
        <v>25</v>
      </c>
    </row>
    <row r="1194" customFormat="false" ht="15" hidden="false" customHeight="false" outlineLevel="0" collapsed="false">
      <c r="A1194" s="4" t="n">
        <v>24</v>
      </c>
      <c r="B1194" s="4" t="n">
        <v>177</v>
      </c>
      <c r="C1194" s="4" t="n">
        <v>218</v>
      </c>
      <c r="D1194" s="4" t="n">
        <v>205</v>
      </c>
      <c r="E1194" s="6" t="n">
        <v>11.4809200416788</v>
      </c>
      <c r="F1194" s="6" t="n">
        <f aca="false">D1194+E1194</f>
        <v>216.480920041679</v>
      </c>
      <c r="G1194" s="6" t="n">
        <f aca="false">F1194-C1194</f>
        <v>-1.51907995832119</v>
      </c>
      <c r="H1194" s="4" t="str">
        <f aca="false">IF(G1194&gt;2,"LATE",IF(G1194&lt;-13,"EARLY","IN"))</f>
        <v>IN</v>
      </c>
      <c r="I1194" s="4" t="n">
        <f aca="false">C1194-D1194</f>
        <v>13</v>
      </c>
    </row>
    <row r="1195" customFormat="false" ht="15" hidden="false" customHeight="false" outlineLevel="0" collapsed="false">
      <c r="A1195" s="4" t="n">
        <v>24</v>
      </c>
      <c r="B1195" s="4" t="n">
        <v>179</v>
      </c>
      <c r="C1195" s="4" t="n">
        <v>223</v>
      </c>
      <c r="D1195" s="4" t="n">
        <v>206</v>
      </c>
      <c r="E1195" s="6" t="n">
        <v>15.8219568815818</v>
      </c>
      <c r="F1195" s="6" t="n">
        <f aca="false">D1195+E1195</f>
        <v>221.821956881582</v>
      </c>
      <c r="G1195" s="6" t="n">
        <f aca="false">F1195-C1195</f>
        <v>-1.17804311841823</v>
      </c>
      <c r="H1195" s="4" t="str">
        <f aca="false">IF(G1195&gt;2,"LATE",IF(G1195&lt;-13,"EARLY","IN"))</f>
        <v>IN</v>
      </c>
      <c r="I1195" s="4" t="n">
        <f aca="false">C1195-D1195</f>
        <v>17</v>
      </c>
    </row>
    <row r="1196" customFormat="false" ht="15" hidden="false" customHeight="false" outlineLevel="0" collapsed="false">
      <c r="A1196" s="4" t="n">
        <v>24</v>
      </c>
      <c r="B1196" s="4" t="n">
        <v>192</v>
      </c>
      <c r="C1196" s="4" t="n">
        <v>176</v>
      </c>
      <c r="D1196" s="4" t="n">
        <v>156</v>
      </c>
      <c r="E1196" s="6" t="n">
        <v>16.0653423353369</v>
      </c>
      <c r="F1196" s="6" t="n">
        <f aca="false">D1196+E1196</f>
        <v>172.065342335337</v>
      </c>
      <c r="G1196" s="6" t="n">
        <f aca="false">F1196-C1196</f>
        <v>-3.93465766466306</v>
      </c>
      <c r="H1196" s="4" t="str">
        <f aca="false">IF(G1196&gt;2,"LATE",IF(G1196&lt;-13,"EARLY","IN"))</f>
        <v>IN</v>
      </c>
      <c r="I1196" s="4" t="n">
        <f aca="false">C1196-D1196</f>
        <v>20</v>
      </c>
    </row>
    <row r="1197" customFormat="false" ht="15" hidden="false" customHeight="false" outlineLevel="0" collapsed="false">
      <c r="A1197" s="4" t="n">
        <v>24</v>
      </c>
      <c r="B1197" s="4" t="n">
        <v>200</v>
      </c>
      <c r="C1197" s="4" t="n">
        <v>182</v>
      </c>
      <c r="D1197" s="4" t="n">
        <v>163</v>
      </c>
      <c r="E1197" s="6" t="n">
        <v>15.7373179233813</v>
      </c>
      <c r="F1197" s="6" t="n">
        <f aca="false">D1197+E1197</f>
        <v>178.737317923381</v>
      </c>
      <c r="G1197" s="6" t="n">
        <f aca="false">F1197-C1197</f>
        <v>-3.26268207661869</v>
      </c>
      <c r="H1197" s="4" t="str">
        <f aca="false">IF(G1197&gt;2,"LATE",IF(G1197&lt;-13,"EARLY","IN"))</f>
        <v>IN</v>
      </c>
      <c r="I1197" s="4" t="n">
        <f aca="false">C1197-D1197</f>
        <v>19</v>
      </c>
    </row>
    <row r="1198" customFormat="false" ht="15" hidden="false" customHeight="false" outlineLevel="0" collapsed="false">
      <c r="A1198" s="4" t="n">
        <v>24</v>
      </c>
      <c r="B1198" s="4" t="n">
        <v>203</v>
      </c>
      <c r="C1198" s="4" t="n">
        <v>225</v>
      </c>
      <c r="D1198" s="4" t="n">
        <v>206</v>
      </c>
      <c r="E1198" s="6" t="n">
        <v>11.6289952567458</v>
      </c>
      <c r="F1198" s="6" t="n">
        <f aca="false">D1198+E1198</f>
        <v>217.628995256746</v>
      </c>
      <c r="G1198" s="6" t="n">
        <f aca="false">F1198-C1198</f>
        <v>-7.37100474325416</v>
      </c>
      <c r="H1198" s="4" t="str">
        <f aca="false">IF(G1198&gt;2,"LATE",IF(G1198&lt;-13,"EARLY","IN"))</f>
        <v>IN</v>
      </c>
      <c r="I1198" s="4" t="n">
        <f aca="false">C1198-D1198</f>
        <v>19</v>
      </c>
    </row>
    <row r="1199" customFormat="false" ht="15" hidden="false" customHeight="false" outlineLevel="0" collapsed="false">
      <c r="A1199" s="4" t="n">
        <v>24</v>
      </c>
      <c r="B1199" s="4" t="n">
        <v>207</v>
      </c>
      <c r="C1199" s="4" t="n">
        <v>278</v>
      </c>
      <c r="D1199" s="4" t="n">
        <v>259</v>
      </c>
      <c r="E1199" s="6" t="n">
        <v>15.5001484133222</v>
      </c>
      <c r="F1199" s="6" t="n">
        <f aca="false">D1199+E1199</f>
        <v>274.500148413322</v>
      </c>
      <c r="G1199" s="6" t="n">
        <f aca="false">F1199-C1199</f>
        <v>-3.49985158667784</v>
      </c>
      <c r="H1199" s="4" t="str">
        <f aca="false">IF(G1199&gt;2,"LATE",IF(G1199&lt;-13,"EARLY","IN"))</f>
        <v>IN</v>
      </c>
      <c r="I1199" s="4" t="n">
        <f aca="false">C1199-D1199</f>
        <v>19</v>
      </c>
    </row>
    <row r="1200" customFormat="false" ht="15" hidden="false" customHeight="false" outlineLevel="0" collapsed="false">
      <c r="A1200" s="4" t="n">
        <v>24</v>
      </c>
      <c r="B1200" s="4" t="n">
        <v>209</v>
      </c>
      <c r="C1200" s="4" t="n">
        <v>252</v>
      </c>
      <c r="D1200" s="4" t="n">
        <v>229</v>
      </c>
      <c r="E1200" s="6" t="n">
        <v>13.6052251310705</v>
      </c>
      <c r="F1200" s="6" t="n">
        <f aca="false">D1200+E1200</f>
        <v>242.605225131071</v>
      </c>
      <c r="G1200" s="6" t="n">
        <f aca="false">F1200-C1200</f>
        <v>-9.39477486892946</v>
      </c>
      <c r="H1200" s="4" t="str">
        <f aca="false">IF(G1200&gt;2,"LATE",IF(G1200&lt;-13,"EARLY","IN"))</f>
        <v>IN</v>
      </c>
      <c r="I1200" s="4" t="n">
        <f aca="false">C1200-D1200</f>
        <v>23</v>
      </c>
    </row>
    <row r="1201" customFormat="false" ht="15" hidden="false" customHeight="false" outlineLevel="0" collapsed="false">
      <c r="A1201" s="4" t="n">
        <v>24</v>
      </c>
      <c r="B1201" s="4" t="n">
        <v>212</v>
      </c>
      <c r="C1201" s="4" t="n">
        <v>277</v>
      </c>
      <c r="D1201" s="4" t="n">
        <v>248</v>
      </c>
      <c r="E1201" s="6" t="n">
        <v>14.7494577655956</v>
      </c>
      <c r="F1201" s="6" t="n">
        <f aca="false">D1201+E1201</f>
        <v>262.749457765596</v>
      </c>
      <c r="G1201" s="6" t="n">
        <f aca="false">F1201-C1201</f>
        <v>-14.2505422344044</v>
      </c>
      <c r="H1201" s="4" t="str">
        <f aca="false">IF(G1201&gt;2,"LATE",IF(G1201&lt;-13,"EARLY","IN"))</f>
        <v>EARLY</v>
      </c>
      <c r="I1201" s="4" t="n">
        <f aca="false">C1201-D1201</f>
        <v>29</v>
      </c>
    </row>
    <row r="1202" customFormat="false" ht="15" hidden="false" customHeight="false" outlineLevel="0" collapsed="false">
      <c r="A1202" s="4" t="n">
        <v>25</v>
      </c>
      <c r="B1202" s="4" t="n">
        <v>2</v>
      </c>
      <c r="C1202" s="4" t="n">
        <v>164</v>
      </c>
      <c r="D1202" s="4" t="n">
        <v>144</v>
      </c>
      <c r="E1202" s="6" t="n">
        <v>16.345802182744</v>
      </c>
      <c r="F1202" s="6" t="n">
        <f aca="false">D1202+E1202</f>
        <v>160.345802182744</v>
      </c>
      <c r="G1202" s="6" t="n">
        <f aca="false">F1202-C1202</f>
        <v>-3.65419781725603</v>
      </c>
      <c r="H1202" s="4" t="str">
        <f aca="false">IF(G1202&gt;2,"LATE",IF(G1202&lt;-13,"EARLY","IN"))</f>
        <v>IN</v>
      </c>
      <c r="I1202" s="4" t="n">
        <f aca="false">C1202-D1202</f>
        <v>20</v>
      </c>
    </row>
    <row r="1203" customFormat="false" ht="15" hidden="false" customHeight="false" outlineLevel="0" collapsed="false">
      <c r="A1203" s="4" t="n">
        <v>25</v>
      </c>
      <c r="B1203" s="4" t="n">
        <v>6</v>
      </c>
      <c r="C1203" s="4" t="n">
        <v>225</v>
      </c>
      <c r="D1203" s="4" t="n">
        <v>207</v>
      </c>
      <c r="E1203" s="6" t="n">
        <v>15.8290918466484</v>
      </c>
      <c r="F1203" s="6" t="n">
        <f aca="false">D1203+E1203</f>
        <v>222.829091846648</v>
      </c>
      <c r="G1203" s="6" t="n">
        <f aca="false">F1203-C1203</f>
        <v>-2.1709081533516</v>
      </c>
      <c r="H1203" s="4" t="str">
        <f aca="false">IF(G1203&gt;2,"LATE",IF(G1203&lt;-13,"EARLY","IN"))</f>
        <v>IN</v>
      </c>
      <c r="I1203" s="4" t="n">
        <f aca="false">C1203-D1203</f>
        <v>18</v>
      </c>
    </row>
    <row r="1204" customFormat="false" ht="15" hidden="false" customHeight="false" outlineLevel="0" collapsed="false">
      <c r="A1204" s="4" t="n">
        <v>25</v>
      </c>
      <c r="B1204" s="4" t="n">
        <v>15</v>
      </c>
      <c r="C1204" s="4" t="n">
        <v>178</v>
      </c>
      <c r="D1204" s="4" t="n">
        <v>164</v>
      </c>
      <c r="E1204" s="6" t="n">
        <v>12.2812399778505</v>
      </c>
      <c r="F1204" s="6" t="n">
        <f aca="false">D1204+E1204</f>
        <v>176.28123997785</v>
      </c>
      <c r="G1204" s="6" t="n">
        <f aca="false">F1204-C1204</f>
        <v>-1.71876002214952</v>
      </c>
      <c r="H1204" s="4" t="str">
        <f aca="false">IF(G1204&gt;2,"LATE",IF(G1204&lt;-13,"EARLY","IN"))</f>
        <v>IN</v>
      </c>
      <c r="I1204" s="4" t="n">
        <f aca="false">C1204-D1204</f>
        <v>14</v>
      </c>
    </row>
    <row r="1205" customFormat="false" ht="15" hidden="false" customHeight="false" outlineLevel="0" collapsed="false">
      <c r="A1205" s="4" t="n">
        <v>25</v>
      </c>
      <c r="B1205" s="4" t="n">
        <v>16</v>
      </c>
      <c r="C1205" s="4" t="n">
        <v>172</v>
      </c>
      <c r="D1205" s="4" t="n">
        <v>154</v>
      </c>
      <c r="E1205" s="6" t="n">
        <v>13.2087054772665</v>
      </c>
      <c r="F1205" s="6" t="n">
        <f aca="false">D1205+E1205</f>
        <v>167.208705477267</v>
      </c>
      <c r="G1205" s="6" t="n">
        <f aca="false">F1205-C1205</f>
        <v>-4.79129452273349</v>
      </c>
      <c r="H1205" s="4" t="str">
        <f aca="false">IF(G1205&gt;2,"LATE",IF(G1205&lt;-13,"EARLY","IN"))</f>
        <v>IN</v>
      </c>
      <c r="I1205" s="4" t="n">
        <f aca="false">C1205-D1205</f>
        <v>18</v>
      </c>
    </row>
    <row r="1206" customFormat="false" ht="15" hidden="false" customHeight="false" outlineLevel="0" collapsed="false">
      <c r="A1206" s="4" t="n">
        <v>25</v>
      </c>
      <c r="B1206" s="4" t="n">
        <v>18</v>
      </c>
      <c r="C1206" s="4" t="n">
        <v>196</v>
      </c>
      <c r="D1206" s="4" t="n">
        <v>180</v>
      </c>
      <c r="E1206" s="6" t="n">
        <v>13.0669134615761</v>
      </c>
      <c r="F1206" s="6" t="n">
        <f aca="false">D1206+E1206</f>
        <v>193.066913461576</v>
      </c>
      <c r="G1206" s="6" t="n">
        <f aca="false">F1206-C1206</f>
        <v>-2.93308653842394</v>
      </c>
      <c r="H1206" s="4" t="str">
        <f aca="false">IF(G1206&gt;2,"LATE",IF(G1206&lt;-13,"EARLY","IN"))</f>
        <v>IN</v>
      </c>
      <c r="I1206" s="4" t="n">
        <f aca="false">C1206-D1206</f>
        <v>16</v>
      </c>
    </row>
    <row r="1207" customFormat="false" ht="15" hidden="false" customHeight="false" outlineLevel="0" collapsed="false">
      <c r="A1207" s="4" t="n">
        <v>25</v>
      </c>
      <c r="B1207" s="4" t="n">
        <v>19</v>
      </c>
      <c r="C1207" s="4" t="n">
        <v>167</v>
      </c>
      <c r="D1207" s="4" t="n">
        <v>148</v>
      </c>
      <c r="E1207" s="6" t="n">
        <v>12.8539503508279</v>
      </c>
      <c r="F1207" s="6" t="n">
        <f aca="false">D1207+E1207</f>
        <v>160.853950350828</v>
      </c>
      <c r="G1207" s="6" t="n">
        <f aca="false">F1207-C1207</f>
        <v>-6.14604964917209</v>
      </c>
      <c r="H1207" s="4" t="str">
        <f aca="false">IF(G1207&gt;2,"LATE",IF(G1207&lt;-13,"EARLY","IN"))</f>
        <v>IN</v>
      </c>
      <c r="I1207" s="4" t="n">
        <f aca="false">C1207-D1207</f>
        <v>19</v>
      </c>
    </row>
    <row r="1208" customFormat="false" ht="15" hidden="false" customHeight="false" outlineLevel="0" collapsed="false">
      <c r="A1208" s="4" t="n">
        <v>25</v>
      </c>
      <c r="B1208" s="4" t="n">
        <v>27</v>
      </c>
      <c r="C1208" s="4" t="n">
        <v>178</v>
      </c>
      <c r="D1208" s="4" t="n">
        <v>162</v>
      </c>
      <c r="E1208" s="6" t="n">
        <v>14.8555676451524</v>
      </c>
      <c r="F1208" s="6" t="n">
        <f aca="false">D1208+E1208</f>
        <v>176.855567645152</v>
      </c>
      <c r="G1208" s="6" t="n">
        <f aca="false">F1208-C1208</f>
        <v>-1.1444323548476</v>
      </c>
      <c r="H1208" s="4" t="str">
        <f aca="false">IF(G1208&gt;2,"LATE",IF(G1208&lt;-13,"EARLY","IN"))</f>
        <v>IN</v>
      </c>
      <c r="I1208" s="4" t="n">
        <f aca="false">C1208-D1208</f>
        <v>16</v>
      </c>
    </row>
    <row r="1209" customFormat="false" ht="15" hidden="false" customHeight="false" outlineLevel="0" collapsed="false">
      <c r="A1209" s="4" t="n">
        <v>25</v>
      </c>
      <c r="B1209" s="4" t="n">
        <v>29</v>
      </c>
      <c r="C1209" s="4" t="n">
        <v>228</v>
      </c>
      <c r="D1209" s="4" t="n">
        <v>211</v>
      </c>
      <c r="E1209" s="6" t="n">
        <v>14.2350706080276</v>
      </c>
      <c r="F1209" s="6" t="n">
        <f aca="false">D1209+E1209</f>
        <v>225.235070608028</v>
      </c>
      <c r="G1209" s="6" t="n">
        <f aca="false">F1209-C1209</f>
        <v>-2.76492939197243</v>
      </c>
      <c r="H1209" s="4" t="str">
        <f aca="false">IF(G1209&gt;2,"LATE",IF(G1209&lt;-13,"EARLY","IN"))</f>
        <v>IN</v>
      </c>
      <c r="I1209" s="4" t="n">
        <f aca="false">C1209-D1209</f>
        <v>17</v>
      </c>
    </row>
    <row r="1210" customFormat="false" ht="15" hidden="false" customHeight="false" outlineLevel="0" collapsed="false">
      <c r="A1210" s="4" t="n">
        <v>25</v>
      </c>
      <c r="B1210" s="4" t="n">
        <v>36</v>
      </c>
      <c r="C1210" s="4" t="n">
        <v>147</v>
      </c>
      <c r="D1210" s="4" t="n">
        <v>128</v>
      </c>
      <c r="E1210" s="6" t="n">
        <v>13.4606911967986</v>
      </c>
      <c r="F1210" s="6" t="n">
        <f aca="false">D1210+E1210</f>
        <v>141.460691196799</v>
      </c>
      <c r="G1210" s="6" t="n">
        <f aca="false">F1210-C1210</f>
        <v>-5.53930880320144</v>
      </c>
      <c r="H1210" s="4" t="str">
        <f aca="false">IF(G1210&gt;2,"LATE",IF(G1210&lt;-13,"EARLY","IN"))</f>
        <v>IN</v>
      </c>
      <c r="I1210" s="4" t="n">
        <f aca="false">C1210-D1210</f>
        <v>19</v>
      </c>
    </row>
    <row r="1211" customFormat="false" ht="15" hidden="false" customHeight="false" outlineLevel="0" collapsed="false">
      <c r="A1211" s="4" t="n">
        <v>25</v>
      </c>
      <c r="B1211" s="4" t="n">
        <v>40</v>
      </c>
      <c r="C1211" s="4" t="n">
        <v>187</v>
      </c>
      <c r="D1211" s="4" t="n">
        <v>173</v>
      </c>
      <c r="E1211" s="6" t="n">
        <v>13.4658452609053</v>
      </c>
      <c r="F1211" s="6" t="n">
        <f aca="false">D1211+E1211</f>
        <v>186.465845260905</v>
      </c>
      <c r="G1211" s="6" t="n">
        <f aca="false">F1211-C1211</f>
        <v>-0.534154739094674</v>
      </c>
      <c r="H1211" s="4" t="str">
        <f aca="false">IF(G1211&gt;2,"LATE",IF(G1211&lt;-13,"EARLY","IN"))</f>
        <v>IN</v>
      </c>
      <c r="I1211" s="4" t="n">
        <f aca="false">C1211-D1211</f>
        <v>14</v>
      </c>
    </row>
    <row r="1212" customFormat="false" ht="15" hidden="false" customHeight="false" outlineLevel="0" collapsed="false">
      <c r="A1212" s="4" t="n">
        <v>25</v>
      </c>
      <c r="B1212" s="4" t="n">
        <v>42</v>
      </c>
      <c r="C1212" s="4" t="n">
        <v>241</v>
      </c>
      <c r="D1212" s="4" t="n">
        <v>215</v>
      </c>
      <c r="E1212" s="6" t="n">
        <v>18.036746699466</v>
      </c>
      <c r="F1212" s="6" t="n">
        <f aca="false">D1212+E1212</f>
        <v>233.036746699466</v>
      </c>
      <c r="G1212" s="6" t="n">
        <f aca="false">F1212-C1212</f>
        <v>-7.96325330053404</v>
      </c>
      <c r="H1212" s="4" t="str">
        <f aca="false">IF(G1212&gt;2,"LATE",IF(G1212&lt;-13,"EARLY","IN"))</f>
        <v>IN</v>
      </c>
      <c r="I1212" s="4" t="n">
        <f aca="false">C1212-D1212</f>
        <v>26</v>
      </c>
    </row>
    <row r="1213" customFormat="false" ht="15" hidden="false" customHeight="false" outlineLevel="0" collapsed="false">
      <c r="A1213" s="4" t="n">
        <v>25</v>
      </c>
      <c r="B1213" s="4" t="n">
        <v>44</v>
      </c>
      <c r="C1213" s="4" t="n">
        <v>233</v>
      </c>
      <c r="D1213" s="4" t="n">
        <v>215</v>
      </c>
      <c r="E1213" s="6" t="n">
        <v>16.7177126725451</v>
      </c>
      <c r="F1213" s="6" t="n">
        <f aca="false">D1213+E1213</f>
        <v>231.717712672545</v>
      </c>
      <c r="G1213" s="6" t="n">
        <f aca="false">F1213-C1213</f>
        <v>-1.2822873274549</v>
      </c>
      <c r="H1213" s="4" t="str">
        <f aca="false">IF(G1213&gt;2,"LATE",IF(G1213&lt;-13,"EARLY","IN"))</f>
        <v>IN</v>
      </c>
      <c r="I1213" s="4" t="n">
        <f aca="false">C1213-D1213</f>
        <v>18</v>
      </c>
    </row>
    <row r="1214" customFormat="false" ht="15" hidden="false" customHeight="false" outlineLevel="0" collapsed="false">
      <c r="A1214" s="4" t="n">
        <v>25</v>
      </c>
      <c r="B1214" s="4" t="n">
        <v>46</v>
      </c>
      <c r="C1214" s="4" t="n">
        <v>277</v>
      </c>
      <c r="D1214" s="4" t="n">
        <v>250</v>
      </c>
      <c r="E1214" s="6" t="n">
        <v>16.2061583738368</v>
      </c>
      <c r="F1214" s="6" t="n">
        <f aca="false">D1214+E1214</f>
        <v>266.206158373837</v>
      </c>
      <c r="G1214" s="6" t="n">
        <f aca="false">F1214-C1214</f>
        <v>-10.7938416261632</v>
      </c>
      <c r="H1214" s="4" t="str">
        <f aca="false">IF(G1214&gt;2,"LATE",IF(G1214&lt;-13,"EARLY","IN"))</f>
        <v>IN</v>
      </c>
      <c r="I1214" s="4" t="n">
        <f aca="false">C1214-D1214</f>
        <v>27</v>
      </c>
    </row>
    <row r="1215" customFormat="false" ht="15" hidden="false" customHeight="false" outlineLevel="0" collapsed="false">
      <c r="A1215" s="4" t="n">
        <v>25</v>
      </c>
      <c r="B1215" s="4" t="n">
        <v>48</v>
      </c>
      <c r="C1215" s="4" t="n">
        <v>227</v>
      </c>
      <c r="D1215" s="4" t="n">
        <v>212</v>
      </c>
      <c r="E1215" s="6" t="n">
        <v>13.7420326789495</v>
      </c>
      <c r="F1215" s="6" t="n">
        <f aca="false">D1215+E1215</f>
        <v>225.742032678949</v>
      </c>
      <c r="G1215" s="6" t="n">
        <f aca="false">F1215-C1215</f>
        <v>-1.25796732105056</v>
      </c>
      <c r="H1215" s="4" t="str">
        <f aca="false">IF(G1215&gt;2,"LATE",IF(G1215&lt;-13,"EARLY","IN"))</f>
        <v>IN</v>
      </c>
      <c r="I1215" s="4" t="n">
        <f aca="false">C1215-D1215</f>
        <v>15</v>
      </c>
    </row>
    <row r="1216" customFormat="false" ht="15" hidden="false" customHeight="false" outlineLevel="0" collapsed="false">
      <c r="A1216" s="4" t="n">
        <v>25</v>
      </c>
      <c r="B1216" s="4" t="n">
        <v>55</v>
      </c>
      <c r="C1216" s="4" t="n">
        <v>147</v>
      </c>
      <c r="D1216" s="4" t="n">
        <v>130</v>
      </c>
      <c r="E1216" s="6" t="n">
        <v>15.6503011345892</v>
      </c>
      <c r="F1216" s="6" t="n">
        <f aca="false">D1216+E1216</f>
        <v>145.650301134589</v>
      </c>
      <c r="G1216" s="6" t="n">
        <f aca="false">F1216-C1216</f>
        <v>-1.34969886541086</v>
      </c>
      <c r="H1216" s="4" t="str">
        <f aca="false">IF(G1216&gt;2,"LATE",IF(G1216&lt;-13,"EARLY","IN"))</f>
        <v>IN</v>
      </c>
      <c r="I1216" s="4" t="n">
        <f aca="false">C1216-D1216</f>
        <v>17</v>
      </c>
    </row>
    <row r="1217" customFormat="false" ht="15" hidden="false" customHeight="false" outlineLevel="0" collapsed="false">
      <c r="A1217" s="4" t="n">
        <v>25</v>
      </c>
      <c r="B1217" s="4" t="n">
        <v>58</v>
      </c>
      <c r="C1217" s="4" t="n">
        <v>147</v>
      </c>
      <c r="D1217" s="4" t="n">
        <v>135</v>
      </c>
      <c r="E1217" s="6" t="n">
        <v>11.8817484392286</v>
      </c>
      <c r="F1217" s="6" t="n">
        <f aca="false">D1217+E1217</f>
        <v>146.881748439229</v>
      </c>
      <c r="G1217" s="6" t="n">
        <f aca="false">F1217-C1217</f>
        <v>-0.118251560771427</v>
      </c>
      <c r="H1217" s="4" t="str">
        <f aca="false">IF(G1217&gt;2,"LATE",IF(G1217&lt;-13,"EARLY","IN"))</f>
        <v>IN</v>
      </c>
      <c r="I1217" s="4" t="n">
        <f aca="false">C1217-D1217</f>
        <v>12</v>
      </c>
    </row>
    <row r="1218" customFormat="false" ht="15" hidden="false" customHeight="false" outlineLevel="0" collapsed="false">
      <c r="A1218" s="4" t="n">
        <v>25</v>
      </c>
      <c r="B1218" s="4" t="n">
        <v>69</v>
      </c>
      <c r="C1218" s="4" t="n">
        <v>170</v>
      </c>
      <c r="D1218" s="4" t="n">
        <v>158</v>
      </c>
      <c r="E1218" s="6" t="n">
        <v>13.5582151213526</v>
      </c>
      <c r="F1218" s="6" t="n">
        <f aca="false">D1218+E1218</f>
        <v>171.558215121353</v>
      </c>
      <c r="G1218" s="6" t="n">
        <f aca="false">F1218-C1218</f>
        <v>1.55821512135259</v>
      </c>
      <c r="H1218" s="4" t="str">
        <f aca="false">IF(G1218&gt;2,"LATE",IF(G1218&lt;-13,"EARLY","IN"))</f>
        <v>IN</v>
      </c>
      <c r="I1218" s="4" t="n">
        <f aca="false">C1218-D1218</f>
        <v>12</v>
      </c>
    </row>
    <row r="1219" customFormat="false" ht="15" hidden="false" customHeight="false" outlineLevel="0" collapsed="false">
      <c r="A1219" s="4" t="n">
        <v>25</v>
      </c>
      <c r="B1219" s="4" t="n">
        <v>75</v>
      </c>
      <c r="C1219" s="4" t="n">
        <v>186</v>
      </c>
      <c r="D1219" s="4" t="n">
        <v>170</v>
      </c>
      <c r="E1219" s="6" t="n">
        <v>16.2173274060704</v>
      </c>
      <c r="F1219" s="6" t="n">
        <f aca="false">D1219+E1219</f>
        <v>186.21732740607</v>
      </c>
      <c r="G1219" s="6" t="n">
        <f aca="false">F1219-C1219</f>
        <v>0.21732740607041</v>
      </c>
      <c r="H1219" s="4" t="str">
        <f aca="false">IF(G1219&gt;2,"LATE",IF(G1219&lt;-13,"EARLY","IN"))</f>
        <v>IN</v>
      </c>
      <c r="I1219" s="4" t="n">
        <f aca="false">C1219-D1219</f>
        <v>16</v>
      </c>
    </row>
    <row r="1220" customFormat="false" ht="15" hidden="false" customHeight="false" outlineLevel="0" collapsed="false">
      <c r="A1220" s="4" t="n">
        <v>25</v>
      </c>
      <c r="B1220" s="4" t="n">
        <v>80</v>
      </c>
      <c r="C1220" s="4" t="n">
        <v>284</v>
      </c>
      <c r="D1220" s="4" t="n">
        <v>268</v>
      </c>
      <c r="E1220" s="6" t="n">
        <v>15.5092502664378</v>
      </c>
      <c r="F1220" s="6" t="n">
        <f aca="false">D1220+E1220</f>
        <v>283.509250266438</v>
      </c>
      <c r="G1220" s="6" t="n">
        <f aca="false">F1220-C1220</f>
        <v>-0.490749733562211</v>
      </c>
      <c r="H1220" s="4" t="str">
        <f aca="false">IF(G1220&gt;2,"LATE",IF(G1220&lt;-13,"EARLY","IN"))</f>
        <v>IN</v>
      </c>
      <c r="I1220" s="4" t="n">
        <f aca="false">C1220-D1220</f>
        <v>16</v>
      </c>
    </row>
    <row r="1221" customFormat="false" ht="15" hidden="false" customHeight="false" outlineLevel="0" collapsed="false">
      <c r="A1221" s="4" t="n">
        <v>25</v>
      </c>
      <c r="B1221" s="4" t="n">
        <v>83</v>
      </c>
      <c r="C1221" s="4" t="n">
        <v>231</v>
      </c>
      <c r="D1221" s="4" t="n">
        <v>213</v>
      </c>
      <c r="E1221" s="6" t="n">
        <v>13.1046124591049</v>
      </c>
      <c r="F1221" s="6" t="n">
        <f aca="false">D1221+E1221</f>
        <v>226.104612459105</v>
      </c>
      <c r="G1221" s="6" t="n">
        <f aca="false">F1221-C1221</f>
        <v>-4.89538754089512</v>
      </c>
      <c r="H1221" s="4" t="str">
        <f aca="false">IF(G1221&gt;2,"LATE",IF(G1221&lt;-13,"EARLY","IN"))</f>
        <v>IN</v>
      </c>
      <c r="I1221" s="4" t="n">
        <f aca="false">C1221-D1221</f>
        <v>18</v>
      </c>
    </row>
    <row r="1222" customFormat="false" ht="15" hidden="false" customHeight="false" outlineLevel="0" collapsed="false">
      <c r="A1222" s="4" t="n">
        <v>25</v>
      </c>
      <c r="B1222" s="4" t="n">
        <v>87</v>
      </c>
      <c r="C1222" s="4" t="n">
        <v>177</v>
      </c>
      <c r="D1222" s="4" t="n">
        <v>161</v>
      </c>
      <c r="E1222" s="6" t="n">
        <v>12.4099892705619</v>
      </c>
      <c r="F1222" s="6" t="n">
        <f aca="false">D1222+E1222</f>
        <v>173.409989270562</v>
      </c>
      <c r="G1222" s="6" t="n">
        <f aca="false">F1222-C1222</f>
        <v>-3.59001072943815</v>
      </c>
      <c r="H1222" s="4" t="str">
        <f aca="false">IF(G1222&gt;2,"LATE",IF(G1222&lt;-13,"EARLY","IN"))</f>
        <v>IN</v>
      </c>
      <c r="I1222" s="4" t="n">
        <f aca="false">C1222-D1222</f>
        <v>16</v>
      </c>
    </row>
    <row r="1223" customFormat="false" ht="15" hidden="false" customHeight="false" outlineLevel="0" collapsed="false">
      <c r="A1223" s="4" t="n">
        <v>25</v>
      </c>
      <c r="B1223" s="4" t="n">
        <v>96</v>
      </c>
      <c r="C1223" s="4" t="n">
        <v>339</v>
      </c>
      <c r="D1223" s="4" t="n">
        <v>311</v>
      </c>
      <c r="E1223" s="6" t="n">
        <v>15.2740842584937</v>
      </c>
      <c r="F1223" s="6" t="n">
        <f aca="false">D1223+E1223</f>
        <v>326.274084258494</v>
      </c>
      <c r="G1223" s="6" t="n">
        <f aca="false">F1223-C1223</f>
        <v>-12.7259157415064</v>
      </c>
      <c r="H1223" s="4" t="str">
        <f aca="false">IF(G1223&gt;2,"LATE",IF(G1223&lt;-13,"EARLY","IN"))</f>
        <v>IN</v>
      </c>
      <c r="I1223" s="4" t="n">
        <f aca="false">C1223-D1223</f>
        <v>28</v>
      </c>
    </row>
    <row r="1224" customFormat="false" ht="15" hidden="false" customHeight="false" outlineLevel="0" collapsed="false">
      <c r="A1224" s="4" t="n">
        <v>25</v>
      </c>
      <c r="B1224" s="4" t="n">
        <v>109</v>
      </c>
      <c r="C1224" s="4" t="n">
        <v>160</v>
      </c>
      <c r="D1224" s="4" t="n">
        <v>147</v>
      </c>
      <c r="E1224" s="6" t="n">
        <v>12.7864938996191</v>
      </c>
      <c r="F1224" s="6" t="n">
        <f aca="false">D1224+E1224</f>
        <v>159.786493899619</v>
      </c>
      <c r="G1224" s="6" t="n">
        <f aca="false">F1224-C1224</f>
        <v>-0.213506100380897</v>
      </c>
      <c r="H1224" s="4" t="str">
        <f aca="false">IF(G1224&gt;2,"LATE",IF(G1224&lt;-13,"EARLY","IN"))</f>
        <v>IN</v>
      </c>
      <c r="I1224" s="4" t="n">
        <f aca="false">C1224-D1224</f>
        <v>13</v>
      </c>
    </row>
    <row r="1225" customFormat="false" ht="15" hidden="false" customHeight="false" outlineLevel="0" collapsed="false">
      <c r="A1225" s="4" t="n">
        <v>25</v>
      </c>
      <c r="B1225" s="4" t="n">
        <v>110</v>
      </c>
      <c r="C1225" s="4" t="n">
        <v>277</v>
      </c>
      <c r="D1225" s="4" t="n">
        <v>253</v>
      </c>
      <c r="E1225" s="6" t="n">
        <v>12.2760470854866</v>
      </c>
      <c r="F1225" s="6" t="n">
        <f aca="false">D1225+E1225</f>
        <v>265.276047085487</v>
      </c>
      <c r="G1225" s="6" t="n">
        <f aca="false">F1225-C1225</f>
        <v>-11.7239529145134</v>
      </c>
      <c r="H1225" s="4" t="str">
        <f aca="false">IF(G1225&gt;2,"LATE",IF(G1225&lt;-13,"EARLY","IN"))</f>
        <v>IN</v>
      </c>
      <c r="I1225" s="4" t="n">
        <f aca="false">C1225-D1225</f>
        <v>24</v>
      </c>
    </row>
    <row r="1226" customFormat="false" ht="15" hidden="false" customHeight="false" outlineLevel="0" collapsed="false">
      <c r="A1226" s="4" t="n">
        <v>25</v>
      </c>
      <c r="B1226" s="4" t="n">
        <v>112</v>
      </c>
      <c r="C1226" s="4" t="n">
        <v>226</v>
      </c>
      <c r="D1226" s="4" t="n">
        <v>210</v>
      </c>
      <c r="E1226" s="6" t="n">
        <v>15.1807501800234</v>
      </c>
      <c r="F1226" s="6" t="n">
        <f aca="false">D1226+E1226</f>
        <v>225.180750180023</v>
      </c>
      <c r="G1226" s="6" t="n">
        <f aca="false">F1226-C1226</f>
        <v>-0.819249819976619</v>
      </c>
      <c r="H1226" s="4" t="str">
        <f aca="false">IF(G1226&gt;2,"LATE",IF(G1226&lt;-13,"EARLY","IN"))</f>
        <v>IN</v>
      </c>
      <c r="I1226" s="4" t="n">
        <f aca="false">C1226-D1226</f>
        <v>16</v>
      </c>
    </row>
    <row r="1227" customFormat="false" ht="15" hidden="false" customHeight="false" outlineLevel="0" collapsed="false">
      <c r="A1227" s="4" t="n">
        <v>25</v>
      </c>
      <c r="B1227" s="4" t="n">
        <v>113</v>
      </c>
      <c r="C1227" s="4" t="n">
        <v>160</v>
      </c>
      <c r="D1227" s="4" t="n">
        <v>141</v>
      </c>
      <c r="E1227" s="6" t="n">
        <v>15.1242562649527</v>
      </c>
      <c r="F1227" s="6" t="n">
        <f aca="false">D1227+E1227</f>
        <v>156.124256264953</v>
      </c>
      <c r="G1227" s="6" t="n">
        <f aca="false">F1227-C1227</f>
        <v>-3.87574373504731</v>
      </c>
      <c r="H1227" s="4" t="str">
        <f aca="false">IF(G1227&gt;2,"LATE",IF(G1227&lt;-13,"EARLY","IN"))</f>
        <v>IN</v>
      </c>
      <c r="I1227" s="4" t="n">
        <f aca="false">C1227-D1227</f>
        <v>19</v>
      </c>
    </row>
    <row r="1228" customFormat="false" ht="15" hidden="false" customHeight="false" outlineLevel="0" collapsed="false">
      <c r="A1228" s="4" t="n">
        <v>25</v>
      </c>
      <c r="B1228" s="4" t="n">
        <v>115</v>
      </c>
      <c r="C1228" s="4" t="n">
        <v>260</v>
      </c>
      <c r="D1228" s="4" t="n">
        <v>240</v>
      </c>
      <c r="E1228" s="6" t="n">
        <v>15.4873871792532</v>
      </c>
      <c r="F1228" s="6" t="n">
        <f aca="false">D1228+E1228</f>
        <v>255.487387179253</v>
      </c>
      <c r="G1228" s="6" t="n">
        <f aca="false">F1228-C1228</f>
        <v>-4.51261282074682</v>
      </c>
      <c r="H1228" s="4" t="str">
        <f aca="false">IF(G1228&gt;2,"LATE",IF(G1228&lt;-13,"EARLY","IN"))</f>
        <v>IN</v>
      </c>
      <c r="I1228" s="4" t="n">
        <f aca="false">C1228-D1228</f>
        <v>20</v>
      </c>
    </row>
    <row r="1229" customFormat="false" ht="15" hidden="false" customHeight="false" outlineLevel="0" collapsed="false">
      <c r="A1229" s="4" t="n">
        <v>25</v>
      </c>
      <c r="B1229" s="4" t="n">
        <v>116</v>
      </c>
      <c r="C1229" s="4" t="n">
        <v>232</v>
      </c>
      <c r="D1229" s="4" t="n">
        <v>206</v>
      </c>
      <c r="E1229" s="6" t="n">
        <v>15.8688768932388</v>
      </c>
      <c r="F1229" s="6" t="n">
        <f aca="false">D1229+E1229</f>
        <v>221.868876893239</v>
      </c>
      <c r="G1229" s="6" t="n">
        <f aca="false">F1229-C1229</f>
        <v>-10.1311231067612</v>
      </c>
      <c r="H1229" s="4" t="str">
        <f aca="false">IF(G1229&gt;2,"LATE",IF(G1229&lt;-13,"EARLY","IN"))</f>
        <v>IN</v>
      </c>
      <c r="I1229" s="4" t="n">
        <f aca="false">C1229-D1229</f>
        <v>26</v>
      </c>
    </row>
    <row r="1230" customFormat="false" ht="15" hidden="false" customHeight="false" outlineLevel="0" collapsed="false">
      <c r="A1230" s="4" t="n">
        <v>25</v>
      </c>
      <c r="B1230" s="4" t="n">
        <v>119</v>
      </c>
      <c r="C1230" s="4" t="n">
        <v>242</v>
      </c>
      <c r="D1230" s="4" t="n">
        <v>217</v>
      </c>
      <c r="E1230" s="6" t="n">
        <v>14.9902160803376</v>
      </c>
      <c r="F1230" s="6" t="n">
        <f aca="false">D1230+E1230</f>
        <v>231.990216080338</v>
      </c>
      <c r="G1230" s="6" t="n">
        <f aca="false">F1230-C1230</f>
        <v>-10.0097839196624</v>
      </c>
      <c r="H1230" s="4" t="str">
        <f aca="false">IF(G1230&gt;2,"LATE",IF(G1230&lt;-13,"EARLY","IN"))</f>
        <v>IN</v>
      </c>
      <c r="I1230" s="4" t="n">
        <f aca="false">C1230-D1230</f>
        <v>25</v>
      </c>
    </row>
    <row r="1231" customFormat="false" ht="15" hidden="false" customHeight="false" outlineLevel="0" collapsed="false">
      <c r="A1231" s="4" t="n">
        <v>25</v>
      </c>
      <c r="B1231" s="4" t="n">
        <v>125</v>
      </c>
      <c r="C1231" s="4" t="n">
        <v>245</v>
      </c>
      <c r="D1231" s="4" t="n">
        <v>224</v>
      </c>
      <c r="E1231" s="6" t="n">
        <v>18.0471177669345</v>
      </c>
      <c r="F1231" s="6" t="n">
        <f aca="false">D1231+E1231</f>
        <v>242.047117766935</v>
      </c>
      <c r="G1231" s="6" t="n">
        <f aca="false">F1231-C1231</f>
        <v>-2.95288223306548</v>
      </c>
      <c r="H1231" s="4" t="str">
        <f aca="false">IF(G1231&gt;2,"LATE",IF(G1231&lt;-13,"EARLY","IN"))</f>
        <v>IN</v>
      </c>
      <c r="I1231" s="4" t="n">
        <f aca="false">C1231-D1231</f>
        <v>21</v>
      </c>
    </row>
    <row r="1232" customFormat="false" ht="15" hidden="false" customHeight="false" outlineLevel="0" collapsed="false">
      <c r="A1232" s="4" t="n">
        <v>25</v>
      </c>
      <c r="B1232" s="4" t="n">
        <v>127</v>
      </c>
      <c r="C1232" s="4" t="n">
        <v>163</v>
      </c>
      <c r="D1232" s="4" t="n">
        <v>144</v>
      </c>
      <c r="E1232" s="6" t="n">
        <v>14.5532814366435</v>
      </c>
      <c r="F1232" s="6" t="n">
        <f aca="false">D1232+E1232</f>
        <v>158.553281436643</v>
      </c>
      <c r="G1232" s="6" t="n">
        <f aca="false">F1232-C1232</f>
        <v>-4.44671856335654</v>
      </c>
      <c r="H1232" s="4" t="str">
        <f aca="false">IF(G1232&gt;2,"LATE",IF(G1232&lt;-13,"EARLY","IN"))</f>
        <v>IN</v>
      </c>
      <c r="I1232" s="4" t="n">
        <f aca="false">C1232-D1232</f>
        <v>19</v>
      </c>
    </row>
    <row r="1233" customFormat="false" ht="15" hidden="false" customHeight="false" outlineLevel="0" collapsed="false">
      <c r="A1233" s="4" t="n">
        <v>25</v>
      </c>
      <c r="B1233" s="4" t="n">
        <v>140</v>
      </c>
      <c r="C1233" s="4" t="n">
        <v>210</v>
      </c>
      <c r="D1233" s="4" t="n">
        <v>193</v>
      </c>
      <c r="E1233" s="6" t="n">
        <v>13.6771721361822</v>
      </c>
      <c r="F1233" s="6" t="n">
        <f aca="false">D1233+E1233</f>
        <v>206.677172136182</v>
      </c>
      <c r="G1233" s="6" t="n">
        <f aca="false">F1233-C1233</f>
        <v>-3.32282786381782</v>
      </c>
      <c r="H1233" s="4" t="str">
        <f aca="false">IF(G1233&gt;2,"LATE",IF(G1233&lt;-13,"EARLY","IN"))</f>
        <v>IN</v>
      </c>
      <c r="I1233" s="4" t="n">
        <f aca="false">C1233-D1233</f>
        <v>17</v>
      </c>
    </row>
    <row r="1234" customFormat="false" ht="15" hidden="false" customHeight="false" outlineLevel="0" collapsed="false">
      <c r="A1234" s="4" t="n">
        <v>25</v>
      </c>
      <c r="B1234" s="4" t="n">
        <v>143</v>
      </c>
      <c r="C1234" s="4" t="n">
        <v>149</v>
      </c>
      <c r="D1234" s="4" t="n">
        <v>141</v>
      </c>
      <c r="E1234" s="6" t="n">
        <v>12.6078782834247</v>
      </c>
      <c r="F1234" s="6" t="n">
        <f aca="false">D1234+E1234</f>
        <v>153.607878283425</v>
      </c>
      <c r="G1234" s="6" t="n">
        <f aca="false">F1234-C1234</f>
        <v>4.60787828342467</v>
      </c>
      <c r="H1234" s="4" t="str">
        <f aca="false">IF(G1234&gt;2,"LATE",IF(G1234&lt;-13,"EARLY","IN"))</f>
        <v>LATE</v>
      </c>
      <c r="I1234" s="4" t="n">
        <f aca="false">C1234-D1234</f>
        <v>8</v>
      </c>
    </row>
    <row r="1235" customFormat="false" ht="15" hidden="false" customHeight="false" outlineLevel="0" collapsed="false">
      <c r="A1235" s="4" t="n">
        <v>25</v>
      </c>
      <c r="B1235" s="4" t="n">
        <v>148</v>
      </c>
      <c r="C1235" s="4" t="n">
        <v>264</v>
      </c>
      <c r="D1235" s="4" t="n">
        <v>238</v>
      </c>
      <c r="E1235" s="6" t="n">
        <v>15.9234526844373</v>
      </c>
      <c r="F1235" s="6" t="n">
        <f aca="false">D1235+E1235</f>
        <v>253.923452684437</v>
      </c>
      <c r="G1235" s="6" t="n">
        <f aca="false">F1235-C1235</f>
        <v>-10.0765473155627</v>
      </c>
      <c r="H1235" s="4" t="str">
        <f aca="false">IF(G1235&gt;2,"LATE",IF(G1235&lt;-13,"EARLY","IN"))</f>
        <v>IN</v>
      </c>
      <c r="I1235" s="4" t="n">
        <f aca="false">C1235-D1235</f>
        <v>26</v>
      </c>
    </row>
    <row r="1236" customFormat="false" ht="15" hidden="false" customHeight="false" outlineLevel="0" collapsed="false">
      <c r="A1236" s="4" t="n">
        <v>25</v>
      </c>
      <c r="B1236" s="4" t="n">
        <v>160</v>
      </c>
      <c r="C1236" s="4" t="n">
        <v>147</v>
      </c>
      <c r="D1236" s="4" t="n">
        <v>131</v>
      </c>
      <c r="E1236" s="6" t="n">
        <v>15.8820846298122</v>
      </c>
      <c r="F1236" s="6" t="n">
        <f aca="false">D1236+E1236</f>
        <v>146.882084629812</v>
      </c>
      <c r="G1236" s="6" t="n">
        <f aca="false">F1236-C1236</f>
        <v>-0.117915370187774</v>
      </c>
      <c r="H1236" s="4" t="str">
        <f aca="false">IF(G1236&gt;2,"LATE",IF(G1236&lt;-13,"EARLY","IN"))</f>
        <v>IN</v>
      </c>
      <c r="I1236" s="4" t="n">
        <f aca="false">C1236-D1236</f>
        <v>16</v>
      </c>
    </row>
    <row r="1237" customFormat="false" ht="15" hidden="false" customHeight="false" outlineLevel="0" collapsed="false">
      <c r="A1237" s="4" t="n">
        <v>25</v>
      </c>
      <c r="B1237" s="4" t="n">
        <v>162</v>
      </c>
      <c r="C1237" s="4" t="n">
        <v>202</v>
      </c>
      <c r="D1237" s="4" t="n">
        <v>185</v>
      </c>
      <c r="E1237" s="6" t="n">
        <v>13.0465207904528</v>
      </c>
      <c r="F1237" s="6" t="n">
        <f aca="false">D1237+E1237</f>
        <v>198.046520790453</v>
      </c>
      <c r="G1237" s="6" t="n">
        <f aca="false">F1237-C1237</f>
        <v>-3.95347920954723</v>
      </c>
      <c r="H1237" s="4" t="str">
        <f aca="false">IF(G1237&gt;2,"LATE",IF(G1237&lt;-13,"EARLY","IN"))</f>
        <v>IN</v>
      </c>
      <c r="I1237" s="4" t="n">
        <f aca="false">C1237-D1237</f>
        <v>17</v>
      </c>
    </row>
    <row r="1238" customFormat="false" ht="15" hidden="false" customHeight="false" outlineLevel="0" collapsed="false">
      <c r="A1238" s="4" t="n">
        <v>25</v>
      </c>
      <c r="B1238" s="4" t="n">
        <v>163</v>
      </c>
      <c r="C1238" s="4" t="n">
        <v>177</v>
      </c>
      <c r="D1238" s="4" t="n">
        <v>162</v>
      </c>
      <c r="E1238" s="6" t="n">
        <v>14.0449242670152</v>
      </c>
      <c r="F1238" s="6" t="n">
        <f aca="false">D1238+E1238</f>
        <v>176.044924267015</v>
      </c>
      <c r="G1238" s="6" t="n">
        <f aca="false">F1238-C1238</f>
        <v>-0.955075732984767</v>
      </c>
      <c r="H1238" s="4" t="str">
        <f aca="false">IF(G1238&gt;2,"LATE",IF(G1238&lt;-13,"EARLY","IN"))</f>
        <v>IN</v>
      </c>
      <c r="I1238" s="4" t="n">
        <f aca="false">C1238-D1238</f>
        <v>15</v>
      </c>
    </row>
    <row r="1239" customFormat="false" ht="15" hidden="false" customHeight="false" outlineLevel="0" collapsed="false">
      <c r="A1239" s="4" t="n">
        <v>25</v>
      </c>
      <c r="B1239" s="4" t="n">
        <v>165</v>
      </c>
      <c r="C1239" s="4" t="n">
        <v>160</v>
      </c>
      <c r="D1239" s="4" t="n">
        <v>143</v>
      </c>
      <c r="E1239" s="6" t="n">
        <v>16.1041870594779</v>
      </c>
      <c r="F1239" s="6" t="n">
        <f aca="false">D1239+E1239</f>
        <v>159.104187059478</v>
      </c>
      <c r="G1239" s="6" t="n">
        <f aca="false">F1239-C1239</f>
        <v>-0.895812940522063</v>
      </c>
      <c r="H1239" s="4" t="str">
        <f aca="false">IF(G1239&gt;2,"LATE",IF(G1239&lt;-13,"EARLY","IN"))</f>
        <v>IN</v>
      </c>
      <c r="I1239" s="4" t="n">
        <f aca="false">C1239-D1239</f>
        <v>17</v>
      </c>
    </row>
    <row r="1240" customFormat="false" ht="15" hidden="false" customHeight="false" outlineLevel="0" collapsed="false">
      <c r="A1240" s="4" t="n">
        <v>25</v>
      </c>
      <c r="B1240" s="4" t="n">
        <v>168</v>
      </c>
      <c r="C1240" s="4" t="n">
        <v>253</v>
      </c>
      <c r="D1240" s="4" t="n">
        <v>230</v>
      </c>
      <c r="E1240" s="6" t="n">
        <v>16.0100506927897</v>
      </c>
      <c r="F1240" s="6" t="n">
        <f aca="false">D1240+E1240</f>
        <v>246.01005069279</v>
      </c>
      <c r="G1240" s="6" t="n">
        <f aca="false">F1240-C1240</f>
        <v>-6.98994930721025</v>
      </c>
      <c r="H1240" s="4" t="str">
        <f aca="false">IF(G1240&gt;2,"LATE",IF(G1240&lt;-13,"EARLY","IN"))</f>
        <v>IN</v>
      </c>
      <c r="I1240" s="4" t="n">
        <f aca="false">C1240-D1240</f>
        <v>23</v>
      </c>
    </row>
    <row r="1241" customFormat="false" ht="15" hidden="false" customHeight="false" outlineLevel="0" collapsed="false">
      <c r="A1241" s="4" t="n">
        <v>25</v>
      </c>
      <c r="B1241" s="4" t="n">
        <v>170</v>
      </c>
      <c r="C1241" s="4" t="n">
        <v>302</v>
      </c>
      <c r="D1241" s="4" t="n">
        <v>284</v>
      </c>
      <c r="E1241" s="6" t="n">
        <v>14.589310358586</v>
      </c>
      <c r="F1241" s="6" t="n">
        <f aca="false">D1241+E1241</f>
        <v>298.589310358586</v>
      </c>
      <c r="G1241" s="6" t="n">
        <f aca="false">F1241-C1241</f>
        <v>-3.41068964141402</v>
      </c>
      <c r="H1241" s="4" t="str">
        <f aca="false">IF(G1241&gt;2,"LATE",IF(G1241&lt;-13,"EARLY","IN"))</f>
        <v>IN</v>
      </c>
      <c r="I1241" s="4" t="n">
        <f aca="false">C1241-D1241</f>
        <v>18</v>
      </c>
    </row>
    <row r="1242" customFormat="false" ht="15" hidden="false" customHeight="false" outlineLevel="0" collapsed="false">
      <c r="A1242" s="4" t="n">
        <v>25</v>
      </c>
      <c r="B1242" s="4" t="n">
        <v>179</v>
      </c>
      <c r="C1242" s="4" t="n">
        <v>223</v>
      </c>
      <c r="D1242" s="4" t="n">
        <v>207</v>
      </c>
      <c r="E1242" s="6" t="n">
        <v>14.776650608325</v>
      </c>
      <c r="F1242" s="6" t="n">
        <f aca="false">D1242+E1242</f>
        <v>221.776650608325</v>
      </c>
      <c r="G1242" s="6" t="n">
        <f aca="false">F1242-C1242</f>
        <v>-1.22334939167496</v>
      </c>
      <c r="H1242" s="4" t="str">
        <f aca="false">IF(G1242&gt;2,"LATE",IF(G1242&lt;-13,"EARLY","IN"))</f>
        <v>IN</v>
      </c>
      <c r="I1242" s="4" t="n">
        <f aca="false">C1242-D1242</f>
        <v>16</v>
      </c>
    </row>
    <row r="1243" customFormat="false" ht="15" hidden="false" customHeight="false" outlineLevel="0" collapsed="false">
      <c r="A1243" s="4" t="n">
        <v>25</v>
      </c>
      <c r="B1243" s="4" t="n">
        <v>183</v>
      </c>
      <c r="C1243" s="4" t="n">
        <v>225</v>
      </c>
      <c r="D1243" s="4" t="n">
        <v>207</v>
      </c>
      <c r="E1243" s="6" t="n">
        <v>16.4713388946359</v>
      </c>
      <c r="F1243" s="6" t="n">
        <f aca="false">D1243+E1243</f>
        <v>223.471338894636</v>
      </c>
      <c r="G1243" s="6" t="n">
        <f aca="false">F1243-C1243</f>
        <v>-1.52866110536414</v>
      </c>
      <c r="H1243" s="4" t="str">
        <f aca="false">IF(G1243&gt;2,"LATE",IF(G1243&lt;-13,"EARLY","IN"))</f>
        <v>IN</v>
      </c>
      <c r="I1243" s="4" t="n">
        <f aca="false">C1243-D1243</f>
        <v>18</v>
      </c>
    </row>
    <row r="1244" customFormat="false" ht="15" hidden="false" customHeight="false" outlineLevel="0" collapsed="false">
      <c r="A1244" s="4" t="n">
        <v>25</v>
      </c>
      <c r="B1244" s="4" t="n">
        <v>193</v>
      </c>
      <c r="C1244" s="4" t="n">
        <v>223</v>
      </c>
      <c r="D1244" s="4" t="n">
        <v>199</v>
      </c>
      <c r="E1244" s="6" t="n">
        <v>15.5015028698517</v>
      </c>
      <c r="F1244" s="6" t="n">
        <f aca="false">D1244+E1244</f>
        <v>214.501502869852</v>
      </c>
      <c r="G1244" s="6" t="n">
        <f aca="false">F1244-C1244</f>
        <v>-8.49849713014828</v>
      </c>
      <c r="H1244" s="4" t="str">
        <f aca="false">IF(G1244&gt;2,"LATE",IF(G1244&lt;-13,"EARLY","IN"))</f>
        <v>IN</v>
      </c>
      <c r="I1244" s="4" t="n">
        <f aca="false">C1244-D1244</f>
        <v>24</v>
      </c>
    </row>
    <row r="1245" customFormat="false" ht="15" hidden="false" customHeight="false" outlineLevel="0" collapsed="false">
      <c r="A1245" s="4" t="n">
        <v>25</v>
      </c>
      <c r="B1245" s="4" t="n">
        <v>194</v>
      </c>
      <c r="C1245" s="4" t="n">
        <v>246</v>
      </c>
      <c r="D1245" s="4" t="n">
        <v>217</v>
      </c>
      <c r="E1245" s="6" t="n">
        <v>16.8913157593173</v>
      </c>
      <c r="F1245" s="6" t="n">
        <f aca="false">D1245+E1245</f>
        <v>233.891315759317</v>
      </c>
      <c r="G1245" s="6" t="n">
        <f aca="false">F1245-C1245</f>
        <v>-12.1086842406827</v>
      </c>
      <c r="H1245" s="4" t="str">
        <f aca="false">IF(G1245&gt;2,"LATE",IF(G1245&lt;-13,"EARLY","IN"))</f>
        <v>IN</v>
      </c>
      <c r="I1245" s="4" t="n">
        <f aca="false">C1245-D1245</f>
        <v>29</v>
      </c>
    </row>
    <row r="1246" customFormat="false" ht="15" hidden="false" customHeight="false" outlineLevel="0" collapsed="false">
      <c r="A1246" s="4" t="n">
        <v>25</v>
      </c>
      <c r="B1246" s="4" t="n">
        <v>195</v>
      </c>
      <c r="C1246" s="4" t="n">
        <v>284</v>
      </c>
      <c r="D1246" s="4" t="n">
        <v>266</v>
      </c>
      <c r="E1246" s="6" t="n">
        <v>13.0105297241637</v>
      </c>
      <c r="F1246" s="6" t="n">
        <f aca="false">D1246+E1246</f>
        <v>279.010529724164</v>
      </c>
      <c r="G1246" s="6" t="n">
        <f aca="false">F1246-C1246</f>
        <v>-4.98947027583631</v>
      </c>
      <c r="H1246" s="4" t="str">
        <f aca="false">IF(G1246&gt;2,"LATE",IF(G1246&lt;-13,"EARLY","IN"))</f>
        <v>IN</v>
      </c>
      <c r="I1246" s="4" t="n">
        <f aca="false">C1246-D1246</f>
        <v>18</v>
      </c>
    </row>
    <row r="1247" customFormat="false" ht="15" hidden="false" customHeight="false" outlineLevel="0" collapsed="false">
      <c r="A1247" s="4" t="n">
        <v>25</v>
      </c>
      <c r="B1247" s="4" t="n">
        <v>196</v>
      </c>
      <c r="C1247" s="4" t="n">
        <v>226</v>
      </c>
      <c r="D1247" s="4" t="n">
        <v>197</v>
      </c>
      <c r="E1247" s="6" t="n">
        <v>16.0412077397156</v>
      </c>
      <c r="F1247" s="6" t="n">
        <f aca="false">D1247+E1247</f>
        <v>213.041207739716</v>
      </c>
      <c r="G1247" s="6" t="n">
        <f aca="false">F1247-C1247</f>
        <v>-12.9587922602844</v>
      </c>
      <c r="H1247" s="4" t="str">
        <f aca="false">IF(G1247&gt;2,"LATE",IF(G1247&lt;-13,"EARLY","IN"))</f>
        <v>IN</v>
      </c>
      <c r="I1247" s="4" t="n">
        <f aca="false">C1247-D1247</f>
        <v>29</v>
      </c>
    </row>
    <row r="1248" customFormat="false" ht="15" hidden="false" customHeight="false" outlineLevel="0" collapsed="false">
      <c r="A1248" s="4" t="n">
        <v>25</v>
      </c>
      <c r="B1248" s="4" t="n">
        <v>204</v>
      </c>
      <c r="C1248" s="4" t="n">
        <v>174</v>
      </c>
      <c r="D1248" s="4" t="n">
        <v>153</v>
      </c>
      <c r="E1248" s="6" t="n">
        <v>15.5514482906945</v>
      </c>
      <c r="F1248" s="6" t="n">
        <f aca="false">D1248+E1248</f>
        <v>168.551448290695</v>
      </c>
      <c r="G1248" s="6" t="n">
        <f aca="false">F1248-C1248</f>
        <v>-5.44855170930549</v>
      </c>
      <c r="H1248" s="4" t="str">
        <f aca="false">IF(G1248&gt;2,"LATE",IF(G1248&lt;-13,"EARLY","IN"))</f>
        <v>IN</v>
      </c>
      <c r="I1248" s="4" t="n">
        <f aca="false">C1248-D1248</f>
        <v>21</v>
      </c>
    </row>
    <row r="1249" customFormat="false" ht="15" hidden="false" customHeight="false" outlineLevel="0" collapsed="false">
      <c r="A1249" s="4" t="n">
        <v>25</v>
      </c>
      <c r="B1249" s="4" t="n">
        <v>213</v>
      </c>
      <c r="C1249" s="4" t="n">
        <v>263</v>
      </c>
      <c r="D1249" s="4" t="n">
        <v>246</v>
      </c>
      <c r="E1249" s="6" t="n">
        <v>13.0781852091689</v>
      </c>
      <c r="F1249" s="6" t="n">
        <f aca="false">D1249+E1249</f>
        <v>259.078185209169</v>
      </c>
      <c r="G1249" s="6" t="n">
        <f aca="false">F1249-C1249</f>
        <v>-3.92181479083109</v>
      </c>
      <c r="H1249" s="4" t="str">
        <f aca="false">IF(G1249&gt;2,"LATE",IF(G1249&lt;-13,"EARLY","IN"))</f>
        <v>IN</v>
      </c>
      <c r="I1249" s="4" t="n">
        <f aca="false">C1249-D1249</f>
        <v>17</v>
      </c>
    </row>
    <row r="1250" customFormat="false" ht="15" hidden="false" customHeight="false" outlineLevel="0" collapsed="false">
      <c r="A1250" s="4" t="n">
        <v>25</v>
      </c>
      <c r="B1250" s="4" t="n">
        <v>215</v>
      </c>
      <c r="C1250" s="4" t="n">
        <v>156</v>
      </c>
      <c r="D1250" s="4" t="n">
        <v>143</v>
      </c>
      <c r="E1250" s="6" t="n">
        <v>13.9740910071188</v>
      </c>
      <c r="F1250" s="6" t="n">
        <f aca="false">D1250+E1250</f>
        <v>156.974091007119</v>
      </c>
      <c r="G1250" s="6" t="n">
        <f aca="false">F1250-C1250</f>
        <v>0.974091007118801</v>
      </c>
      <c r="H1250" s="4" t="str">
        <f aca="false">IF(G1250&gt;2,"LATE",IF(G1250&lt;-13,"EARLY","IN"))</f>
        <v>IN</v>
      </c>
      <c r="I1250" s="4" t="n">
        <f aca="false">C1250-D1250</f>
        <v>13</v>
      </c>
    </row>
    <row r="1251" customFormat="false" ht="15" hidden="false" customHeight="false" outlineLevel="0" collapsed="false">
      <c r="A1251" s="4" t="n">
        <v>25</v>
      </c>
      <c r="B1251" s="4" t="n">
        <v>216</v>
      </c>
      <c r="C1251" s="4" t="n">
        <v>190</v>
      </c>
      <c r="D1251" s="4" t="n">
        <v>178</v>
      </c>
      <c r="E1251" s="6" t="n">
        <v>12.2036883458278</v>
      </c>
      <c r="F1251" s="6" t="n">
        <f aca="false">D1251+E1251</f>
        <v>190.203688345828</v>
      </c>
      <c r="G1251" s="6" t="n">
        <f aca="false">F1251-C1251</f>
        <v>0.203688345827743</v>
      </c>
      <c r="H1251" s="4" t="str">
        <f aca="false">IF(G1251&gt;2,"LATE",IF(G1251&lt;-13,"EARLY","IN"))</f>
        <v>IN</v>
      </c>
      <c r="I1251" s="4" t="n">
        <f aca="false">C1251-D1251</f>
        <v>12</v>
      </c>
    </row>
    <row r="1252" customFormat="false" ht="15" hidden="false" customHeight="false" outlineLevel="0" collapsed="false">
      <c r="A1252" s="4" t="n">
        <v>26</v>
      </c>
      <c r="B1252" s="4" t="n">
        <v>7</v>
      </c>
      <c r="C1252" s="4" t="n">
        <v>168</v>
      </c>
      <c r="D1252" s="4" t="n">
        <v>141</v>
      </c>
      <c r="E1252" s="6" t="n">
        <v>15.4378999294565</v>
      </c>
      <c r="F1252" s="6" t="n">
        <f aca="false">D1252+E1252</f>
        <v>156.437899929457</v>
      </c>
      <c r="G1252" s="6" t="n">
        <f aca="false">F1252-C1252</f>
        <v>-11.5621000705435</v>
      </c>
      <c r="H1252" s="4" t="str">
        <f aca="false">IF(G1252&gt;2,"LATE",IF(G1252&lt;-13,"EARLY","IN"))</f>
        <v>IN</v>
      </c>
      <c r="I1252" s="4" t="n">
        <f aca="false">C1252-D1252</f>
        <v>27</v>
      </c>
    </row>
    <row r="1253" customFormat="false" ht="15" hidden="false" customHeight="false" outlineLevel="0" collapsed="false">
      <c r="A1253" s="4" t="n">
        <v>26</v>
      </c>
      <c r="B1253" s="4" t="n">
        <v>10</v>
      </c>
      <c r="C1253" s="4" t="n">
        <v>228</v>
      </c>
      <c r="D1253" s="4" t="n">
        <v>213</v>
      </c>
      <c r="E1253" s="6" t="n">
        <v>10.8392607303502</v>
      </c>
      <c r="F1253" s="6" t="n">
        <f aca="false">D1253+E1253</f>
        <v>223.83926073035</v>
      </c>
      <c r="G1253" s="6" t="n">
        <f aca="false">F1253-C1253</f>
        <v>-4.16073926964978</v>
      </c>
      <c r="H1253" s="4" t="str">
        <f aca="false">IF(G1253&gt;2,"LATE",IF(G1253&lt;-13,"EARLY","IN"))</f>
        <v>IN</v>
      </c>
      <c r="I1253" s="4" t="n">
        <f aca="false">C1253-D1253</f>
        <v>15</v>
      </c>
    </row>
    <row r="1254" customFormat="false" ht="15" hidden="false" customHeight="false" outlineLevel="0" collapsed="false">
      <c r="A1254" s="4" t="n">
        <v>26</v>
      </c>
      <c r="B1254" s="4" t="n">
        <v>16</v>
      </c>
      <c r="C1254" s="4" t="n">
        <v>172</v>
      </c>
      <c r="D1254" s="4" t="n">
        <v>154</v>
      </c>
      <c r="E1254" s="6" t="n">
        <v>14.6911223435546</v>
      </c>
      <c r="F1254" s="6" t="n">
        <f aca="false">D1254+E1254</f>
        <v>168.691122343555</v>
      </c>
      <c r="G1254" s="6" t="n">
        <f aca="false">F1254-C1254</f>
        <v>-3.30887765644539</v>
      </c>
      <c r="H1254" s="4" t="str">
        <f aca="false">IF(G1254&gt;2,"LATE",IF(G1254&lt;-13,"EARLY","IN"))</f>
        <v>IN</v>
      </c>
      <c r="I1254" s="4" t="n">
        <f aca="false">C1254-D1254</f>
        <v>18</v>
      </c>
    </row>
    <row r="1255" customFormat="false" ht="15" hidden="false" customHeight="false" outlineLevel="0" collapsed="false">
      <c r="A1255" s="4" t="n">
        <v>26</v>
      </c>
      <c r="B1255" s="4" t="n">
        <v>19</v>
      </c>
      <c r="C1255" s="4" t="n">
        <v>167</v>
      </c>
      <c r="D1255" s="4" t="n">
        <v>147</v>
      </c>
      <c r="E1255" s="6" t="n">
        <v>13.8913340136343</v>
      </c>
      <c r="F1255" s="6" t="n">
        <f aca="false">D1255+E1255</f>
        <v>160.891334013634</v>
      </c>
      <c r="G1255" s="6" t="n">
        <f aca="false">F1255-C1255</f>
        <v>-6.10866598636574</v>
      </c>
      <c r="H1255" s="4" t="str">
        <f aca="false">IF(G1255&gt;2,"LATE",IF(G1255&lt;-13,"EARLY","IN"))</f>
        <v>IN</v>
      </c>
      <c r="I1255" s="4" t="n">
        <f aca="false">C1255-D1255</f>
        <v>20</v>
      </c>
    </row>
    <row r="1256" customFormat="false" ht="15" hidden="false" customHeight="false" outlineLevel="0" collapsed="false">
      <c r="A1256" s="4" t="n">
        <v>26</v>
      </c>
      <c r="B1256" s="4" t="n">
        <v>24</v>
      </c>
      <c r="C1256" s="4" t="n">
        <v>191</v>
      </c>
      <c r="D1256" s="4" t="n">
        <v>173</v>
      </c>
      <c r="E1256" s="6" t="n">
        <v>14.5414124529493</v>
      </c>
      <c r="F1256" s="6" t="n">
        <f aca="false">D1256+E1256</f>
        <v>187.541412452949</v>
      </c>
      <c r="G1256" s="6" t="n">
        <f aca="false">F1256-C1256</f>
        <v>-3.45858754705071</v>
      </c>
      <c r="H1256" s="4" t="str">
        <f aca="false">IF(G1256&gt;2,"LATE",IF(G1256&lt;-13,"EARLY","IN"))</f>
        <v>IN</v>
      </c>
      <c r="I1256" s="4" t="n">
        <f aca="false">C1256-D1256</f>
        <v>18</v>
      </c>
    </row>
    <row r="1257" customFormat="false" ht="15" hidden="false" customHeight="false" outlineLevel="0" collapsed="false">
      <c r="A1257" s="4" t="n">
        <v>26</v>
      </c>
      <c r="B1257" s="4" t="n">
        <v>30</v>
      </c>
      <c r="C1257" s="4" t="n">
        <v>200</v>
      </c>
      <c r="D1257" s="4" t="n">
        <v>183</v>
      </c>
      <c r="E1257" s="6" t="n">
        <v>18.8459654060729</v>
      </c>
      <c r="F1257" s="6" t="n">
        <f aca="false">D1257+E1257</f>
        <v>201.845965406073</v>
      </c>
      <c r="G1257" s="6" t="n">
        <f aca="false">F1257-C1257</f>
        <v>1.84596540607294</v>
      </c>
      <c r="H1257" s="4" t="str">
        <f aca="false">IF(G1257&gt;2,"LATE",IF(G1257&lt;-13,"EARLY","IN"))</f>
        <v>IN</v>
      </c>
      <c r="I1257" s="4" t="n">
        <f aca="false">C1257-D1257</f>
        <v>17</v>
      </c>
    </row>
    <row r="1258" customFormat="false" ht="15" hidden="false" customHeight="false" outlineLevel="0" collapsed="false">
      <c r="A1258" s="4" t="n">
        <v>26</v>
      </c>
      <c r="B1258" s="4" t="n">
        <v>32</v>
      </c>
      <c r="C1258" s="4" t="n">
        <v>193</v>
      </c>
      <c r="D1258" s="4" t="n">
        <v>181</v>
      </c>
      <c r="E1258" s="6" t="n">
        <v>14.060725285273</v>
      </c>
      <c r="F1258" s="6" t="n">
        <f aca="false">D1258+E1258</f>
        <v>195.060725285273</v>
      </c>
      <c r="G1258" s="6" t="n">
        <f aca="false">F1258-C1258</f>
        <v>2.06072528527304</v>
      </c>
      <c r="H1258" s="4" t="str">
        <f aca="false">IF(G1258&gt;2,"LATE",IF(G1258&lt;-13,"EARLY","IN"))</f>
        <v>LATE</v>
      </c>
      <c r="I1258" s="4" t="n">
        <f aca="false">C1258-D1258</f>
        <v>12</v>
      </c>
    </row>
    <row r="1259" customFormat="false" ht="15" hidden="false" customHeight="false" outlineLevel="0" collapsed="false">
      <c r="A1259" s="4" t="n">
        <v>26</v>
      </c>
      <c r="B1259" s="4" t="n">
        <v>34</v>
      </c>
      <c r="C1259" s="4" t="n">
        <v>286</v>
      </c>
      <c r="D1259" s="4" t="n">
        <v>261</v>
      </c>
      <c r="E1259" s="6" t="n">
        <v>19.1957618223097</v>
      </c>
      <c r="F1259" s="6" t="n">
        <f aca="false">D1259+E1259</f>
        <v>280.19576182231</v>
      </c>
      <c r="G1259" s="6" t="n">
        <f aca="false">F1259-C1259</f>
        <v>-5.80423817769025</v>
      </c>
      <c r="H1259" s="4" t="str">
        <f aca="false">IF(G1259&gt;2,"LATE",IF(G1259&lt;-13,"EARLY","IN"))</f>
        <v>IN</v>
      </c>
      <c r="I1259" s="4" t="n">
        <f aca="false">C1259-D1259</f>
        <v>25</v>
      </c>
    </row>
    <row r="1260" customFormat="false" ht="15" hidden="false" customHeight="false" outlineLevel="0" collapsed="false">
      <c r="A1260" s="4" t="n">
        <v>26</v>
      </c>
      <c r="B1260" s="4" t="n">
        <v>37</v>
      </c>
      <c r="C1260" s="4" t="n">
        <v>177</v>
      </c>
      <c r="D1260" s="4" t="n">
        <v>144</v>
      </c>
      <c r="E1260" s="6" t="n">
        <v>16.7841971334796</v>
      </c>
      <c r="F1260" s="6" t="n">
        <f aca="false">D1260+E1260</f>
        <v>160.78419713348</v>
      </c>
      <c r="G1260" s="6" t="n">
        <f aca="false">F1260-C1260</f>
        <v>-16.2158028665204</v>
      </c>
      <c r="H1260" s="4" t="str">
        <f aca="false">IF(G1260&gt;2,"LATE",IF(G1260&lt;-13,"EARLY","IN"))</f>
        <v>EARLY</v>
      </c>
      <c r="I1260" s="4" t="n">
        <f aca="false">C1260-D1260</f>
        <v>33</v>
      </c>
    </row>
    <row r="1261" customFormat="false" ht="15" hidden="false" customHeight="false" outlineLevel="0" collapsed="false">
      <c r="A1261" s="4" t="n">
        <v>26</v>
      </c>
      <c r="B1261" s="4" t="n">
        <v>38</v>
      </c>
      <c r="C1261" s="4" t="n">
        <v>287</v>
      </c>
      <c r="D1261" s="4" t="n">
        <v>256</v>
      </c>
      <c r="E1261" s="6" t="n">
        <v>18.4157855240458</v>
      </c>
      <c r="F1261" s="6" t="n">
        <f aca="false">D1261+E1261</f>
        <v>274.415785524046</v>
      </c>
      <c r="G1261" s="6" t="n">
        <f aca="false">F1261-C1261</f>
        <v>-12.5842144759542</v>
      </c>
      <c r="H1261" s="4" t="str">
        <f aca="false">IF(G1261&gt;2,"LATE",IF(G1261&lt;-13,"EARLY","IN"))</f>
        <v>IN</v>
      </c>
      <c r="I1261" s="4" t="n">
        <f aca="false">C1261-D1261</f>
        <v>31</v>
      </c>
    </row>
    <row r="1262" customFormat="false" ht="15" hidden="false" customHeight="false" outlineLevel="0" collapsed="false">
      <c r="A1262" s="4" t="n">
        <v>26</v>
      </c>
      <c r="B1262" s="4" t="n">
        <v>42</v>
      </c>
      <c r="C1262" s="4" t="n">
        <v>241</v>
      </c>
      <c r="D1262" s="4" t="n">
        <v>225</v>
      </c>
      <c r="E1262" s="6" t="n">
        <v>17.8615448302436</v>
      </c>
      <c r="F1262" s="6" t="n">
        <f aca="false">D1262+E1262</f>
        <v>242.861544830244</v>
      </c>
      <c r="G1262" s="6" t="n">
        <f aca="false">F1262-C1262</f>
        <v>1.86154483024356</v>
      </c>
      <c r="H1262" s="4" t="str">
        <f aca="false">IF(G1262&gt;2,"LATE",IF(G1262&lt;-13,"EARLY","IN"))</f>
        <v>IN</v>
      </c>
      <c r="I1262" s="4" t="n">
        <f aca="false">C1262-D1262</f>
        <v>16</v>
      </c>
    </row>
    <row r="1263" customFormat="false" ht="15" hidden="false" customHeight="false" outlineLevel="0" collapsed="false">
      <c r="A1263" s="4" t="n">
        <v>26</v>
      </c>
      <c r="B1263" s="4" t="n">
        <v>53</v>
      </c>
      <c r="C1263" s="4" t="n">
        <v>259</v>
      </c>
      <c r="D1263" s="4" t="n">
        <v>245</v>
      </c>
      <c r="E1263" s="6" t="n">
        <v>12.5960349254409</v>
      </c>
      <c r="F1263" s="6" t="n">
        <f aca="false">D1263+E1263</f>
        <v>257.596034925441</v>
      </c>
      <c r="G1263" s="6" t="n">
        <f aca="false">F1263-C1263</f>
        <v>-1.40396507455915</v>
      </c>
      <c r="H1263" s="4" t="str">
        <f aca="false">IF(G1263&gt;2,"LATE",IF(G1263&lt;-13,"EARLY","IN"))</f>
        <v>IN</v>
      </c>
      <c r="I1263" s="4" t="n">
        <f aca="false">C1263-D1263</f>
        <v>14</v>
      </c>
    </row>
    <row r="1264" customFormat="false" ht="15" hidden="false" customHeight="false" outlineLevel="0" collapsed="false">
      <c r="A1264" s="4" t="n">
        <v>26</v>
      </c>
      <c r="B1264" s="4" t="n">
        <v>54</v>
      </c>
      <c r="C1264" s="4" t="n">
        <v>249</v>
      </c>
      <c r="D1264" s="4" t="n">
        <v>231</v>
      </c>
      <c r="E1264" s="6" t="n">
        <v>15.2412497504476</v>
      </c>
      <c r="F1264" s="6" t="n">
        <f aca="false">D1264+E1264</f>
        <v>246.241249750448</v>
      </c>
      <c r="G1264" s="6" t="n">
        <f aca="false">F1264-C1264</f>
        <v>-2.75875024955238</v>
      </c>
      <c r="H1264" s="4" t="str">
        <f aca="false">IF(G1264&gt;2,"LATE",IF(G1264&lt;-13,"EARLY","IN"))</f>
        <v>IN</v>
      </c>
      <c r="I1264" s="4" t="n">
        <f aca="false">C1264-D1264</f>
        <v>18</v>
      </c>
    </row>
    <row r="1265" customFormat="false" ht="15" hidden="false" customHeight="false" outlineLevel="0" collapsed="false">
      <c r="A1265" s="4" t="n">
        <v>26</v>
      </c>
      <c r="B1265" s="4" t="n">
        <v>64</v>
      </c>
      <c r="C1265" s="4" t="n">
        <v>154</v>
      </c>
      <c r="D1265" s="4" t="n">
        <v>138</v>
      </c>
      <c r="E1265" s="6" t="n">
        <v>13.142561809032</v>
      </c>
      <c r="F1265" s="6" t="n">
        <f aca="false">D1265+E1265</f>
        <v>151.142561809032</v>
      </c>
      <c r="G1265" s="6" t="n">
        <f aca="false">F1265-C1265</f>
        <v>-2.85743819096797</v>
      </c>
      <c r="H1265" s="4" t="str">
        <f aca="false">IF(G1265&gt;2,"LATE",IF(G1265&lt;-13,"EARLY","IN"))</f>
        <v>IN</v>
      </c>
      <c r="I1265" s="4" t="n">
        <f aca="false">C1265-D1265</f>
        <v>16</v>
      </c>
    </row>
    <row r="1266" customFormat="false" ht="15" hidden="false" customHeight="false" outlineLevel="0" collapsed="false">
      <c r="A1266" s="4" t="n">
        <v>26</v>
      </c>
      <c r="B1266" s="4" t="n">
        <v>68</v>
      </c>
      <c r="C1266" s="4" t="n">
        <v>204</v>
      </c>
      <c r="D1266" s="4" t="n">
        <v>188</v>
      </c>
      <c r="E1266" s="6" t="n">
        <v>15.0354259882595</v>
      </c>
      <c r="F1266" s="6" t="n">
        <f aca="false">D1266+E1266</f>
        <v>203.035425988259</v>
      </c>
      <c r="G1266" s="6" t="n">
        <f aca="false">F1266-C1266</f>
        <v>-0.964574011740524</v>
      </c>
      <c r="H1266" s="4" t="str">
        <f aca="false">IF(G1266&gt;2,"LATE",IF(G1266&lt;-13,"EARLY","IN"))</f>
        <v>IN</v>
      </c>
      <c r="I1266" s="4" t="n">
        <f aca="false">C1266-D1266</f>
        <v>16</v>
      </c>
    </row>
    <row r="1267" customFormat="false" ht="15" hidden="false" customHeight="false" outlineLevel="0" collapsed="false">
      <c r="A1267" s="4" t="n">
        <v>26</v>
      </c>
      <c r="B1267" s="4" t="n">
        <v>71</v>
      </c>
      <c r="C1267" s="4" t="n">
        <v>225</v>
      </c>
      <c r="D1267" s="4" t="n">
        <v>207</v>
      </c>
      <c r="E1267" s="6" t="n">
        <v>13.0686134174976</v>
      </c>
      <c r="F1267" s="6" t="n">
        <f aca="false">D1267+E1267</f>
        <v>220.068613417498</v>
      </c>
      <c r="G1267" s="6" t="n">
        <f aca="false">F1267-C1267</f>
        <v>-4.93138658250237</v>
      </c>
      <c r="H1267" s="4" t="str">
        <f aca="false">IF(G1267&gt;2,"LATE",IF(G1267&lt;-13,"EARLY","IN"))</f>
        <v>IN</v>
      </c>
      <c r="I1267" s="4" t="n">
        <f aca="false">C1267-D1267</f>
        <v>18</v>
      </c>
    </row>
    <row r="1268" customFormat="false" ht="15" hidden="false" customHeight="false" outlineLevel="0" collapsed="false">
      <c r="A1268" s="4" t="n">
        <v>26</v>
      </c>
      <c r="B1268" s="4" t="n">
        <v>72</v>
      </c>
      <c r="C1268" s="4" t="n">
        <v>235</v>
      </c>
      <c r="D1268" s="4" t="n">
        <v>210</v>
      </c>
      <c r="E1268" s="6" t="n">
        <v>15.8773323497734</v>
      </c>
      <c r="F1268" s="6" t="n">
        <f aca="false">D1268+E1268</f>
        <v>225.877332349773</v>
      </c>
      <c r="G1268" s="6" t="n">
        <f aca="false">F1268-C1268</f>
        <v>-9.12266765022662</v>
      </c>
      <c r="H1268" s="4" t="str">
        <f aca="false">IF(G1268&gt;2,"LATE",IF(G1268&lt;-13,"EARLY","IN"))</f>
        <v>IN</v>
      </c>
      <c r="I1268" s="4" t="n">
        <f aca="false">C1268-D1268</f>
        <v>25</v>
      </c>
    </row>
    <row r="1269" customFormat="false" ht="15" hidden="false" customHeight="false" outlineLevel="0" collapsed="false">
      <c r="A1269" s="4" t="n">
        <v>26</v>
      </c>
      <c r="B1269" s="4" t="n">
        <v>78</v>
      </c>
      <c r="C1269" s="4" t="n">
        <v>228</v>
      </c>
      <c r="D1269" s="4" t="n">
        <v>212</v>
      </c>
      <c r="E1269" s="6" t="n">
        <v>11.0116837515724</v>
      </c>
      <c r="F1269" s="6" t="n">
        <f aca="false">D1269+E1269</f>
        <v>223.011683751572</v>
      </c>
      <c r="G1269" s="6" t="n">
        <f aca="false">F1269-C1269</f>
        <v>-4.98831624842762</v>
      </c>
      <c r="H1269" s="4" t="str">
        <f aca="false">IF(G1269&gt;2,"LATE",IF(G1269&lt;-13,"EARLY","IN"))</f>
        <v>IN</v>
      </c>
      <c r="I1269" s="4" t="n">
        <f aca="false">C1269-D1269</f>
        <v>16</v>
      </c>
    </row>
    <row r="1270" customFormat="false" ht="15" hidden="false" customHeight="false" outlineLevel="0" collapsed="false">
      <c r="A1270" s="4" t="n">
        <v>26</v>
      </c>
      <c r="B1270" s="4" t="n">
        <v>79</v>
      </c>
      <c r="C1270" s="4" t="n">
        <v>225</v>
      </c>
      <c r="D1270" s="4" t="n">
        <v>200</v>
      </c>
      <c r="E1270" s="6" t="n">
        <v>13.7315643044812</v>
      </c>
      <c r="F1270" s="6" t="n">
        <f aca="false">D1270+E1270</f>
        <v>213.731564304481</v>
      </c>
      <c r="G1270" s="6" t="n">
        <f aca="false">F1270-C1270</f>
        <v>-11.2684356955188</v>
      </c>
      <c r="H1270" s="4" t="str">
        <f aca="false">IF(G1270&gt;2,"LATE",IF(G1270&lt;-13,"EARLY","IN"))</f>
        <v>IN</v>
      </c>
      <c r="I1270" s="4" t="n">
        <f aca="false">C1270-D1270</f>
        <v>25</v>
      </c>
    </row>
    <row r="1271" customFormat="false" ht="15" hidden="false" customHeight="false" outlineLevel="0" collapsed="false">
      <c r="A1271" s="4" t="n">
        <v>26</v>
      </c>
      <c r="B1271" s="4" t="n">
        <v>81</v>
      </c>
      <c r="C1271" s="4" t="n">
        <v>199</v>
      </c>
      <c r="D1271" s="4" t="n">
        <v>180</v>
      </c>
      <c r="E1271" s="6" t="n">
        <v>11.866143714928</v>
      </c>
      <c r="F1271" s="6" t="n">
        <f aca="false">D1271+E1271</f>
        <v>191.866143714928</v>
      </c>
      <c r="G1271" s="6" t="n">
        <f aca="false">F1271-C1271</f>
        <v>-7.133856285072</v>
      </c>
      <c r="H1271" s="4" t="str">
        <f aca="false">IF(G1271&gt;2,"LATE",IF(G1271&lt;-13,"EARLY","IN"))</f>
        <v>IN</v>
      </c>
      <c r="I1271" s="4" t="n">
        <f aca="false">C1271-D1271</f>
        <v>19</v>
      </c>
    </row>
    <row r="1272" customFormat="false" ht="15" hidden="false" customHeight="false" outlineLevel="0" collapsed="false">
      <c r="A1272" s="4" t="n">
        <v>26</v>
      </c>
      <c r="B1272" s="4" t="n">
        <v>85</v>
      </c>
      <c r="C1272" s="4" t="n">
        <v>246</v>
      </c>
      <c r="D1272" s="4" t="n">
        <v>224</v>
      </c>
      <c r="E1272" s="6" t="n">
        <v>17.6682732557587</v>
      </c>
      <c r="F1272" s="6" t="n">
        <f aca="false">D1272+E1272</f>
        <v>241.668273255759</v>
      </c>
      <c r="G1272" s="6" t="n">
        <f aca="false">F1272-C1272</f>
        <v>-4.33172674424134</v>
      </c>
      <c r="H1272" s="4" t="str">
        <f aca="false">IF(G1272&gt;2,"LATE",IF(G1272&lt;-13,"EARLY","IN"))</f>
        <v>IN</v>
      </c>
      <c r="I1272" s="4" t="n">
        <f aca="false">C1272-D1272</f>
        <v>22</v>
      </c>
    </row>
    <row r="1273" customFormat="false" ht="15" hidden="false" customHeight="false" outlineLevel="0" collapsed="false">
      <c r="A1273" s="4" t="n">
        <v>26</v>
      </c>
      <c r="B1273" s="4" t="n">
        <v>88</v>
      </c>
      <c r="C1273" s="4" t="n">
        <v>134</v>
      </c>
      <c r="D1273" s="4" t="n">
        <v>116</v>
      </c>
      <c r="E1273" s="6" t="n">
        <v>15.719574691598</v>
      </c>
      <c r="F1273" s="6" t="n">
        <f aca="false">D1273+E1273</f>
        <v>131.719574691598</v>
      </c>
      <c r="G1273" s="6" t="n">
        <f aca="false">F1273-C1273</f>
        <v>-2.28042530840196</v>
      </c>
      <c r="H1273" s="4" t="str">
        <f aca="false">IF(G1273&gt;2,"LATE",IF(G1273&lt;-13,"EARLY","IN"))</f>
        <v>IN</v>
      </c>
      <c r="I1273" s="4" t="n">
        <f aca="false">C1273-D1273</f>
        <v>18</v>
      </c>
    </row>
    <row r="1274" customFormat="false" ht="15" hidden="false" customHeight="false" outlineLevel="0" collapsed="false">
      <c r="A1274" s="4" t="n">
        <v>26</v>
      </c>
      <c r="B1274" s="4" t="n">
        <v>89</v>
      </c>
      <c r="C1274" s="4" t="n">
        <v>225</v>
      </c>
      <c r="D1274" s="4" t="n">
        <v>201</v>
      </c>
      <c r="E1274" s="6" t="n">
        <v>18.7891929661213</v>
      </c>
      <c r="F1274" s="6" t="n">
        <f aca="false">D1274+E1274</f>
        <v>219.789192966121</v>
      </c>
      <c r="G1274" s="6" t="n">
        <f aca="false">F1274-C1274</f>
        <v>-5.21080703387875</v>
      </c>
      <c r="H1274" s="4" t="str">
        <f aca="false">IF(G1274&gt;2,"LATE",IF(G1274&lt;-13,"EARLY","IN"))</f>
        <v>IN</v>
      </c>
      <c r="I1274" s="4" t="n">
        <f aca="false">C1274-D1274</f>
        <v>24</v>
      </c>
    </row>
    <row r="1275" customFormat="false" ht="15" hidden="false" customHeight="false" outlineLevel="0" collapsed="false">
      <c r="A1275" s="4" t="n">
        <v>26</v>
      </c>
      <c r="B1275" s="4" t="n">
        <v>102</v>
      </c>
      <c r="C1275" s="4" t="n">
        <v>222</v>
      </c>
      <c r="D1275" s="4" t="n">
        <v>206</v>
      </c>
      <c r="E1275" s="6" t="n">
        <v>15.9250439974913</v>
      </c>
      <c r="F1275" s="6" t="n">
        <f aca="false">D1275+E1275</f>
        <v>221.925043997491</v>
      </c>
      <c r="G1275" s="6" t="n">
        <f aca="false">F1275-C1275</f>
        <v>-0.0749560025086566</v>
      </c>
      <c r="H1275" s="4" t="str">
        <f aca="false">IF(G1275&gt;2,"LATE",IF(G1275&lt;-13,"EARLY","IN"))</f>
        <v>IN</v>
      </c>
      <c r="I1275" s="4" t="n">
        <f aca="false">C1275-D1275</f>
        <v>16</v>
      </c>
    </row>
    <row r="1276" customFormat="false" ht="15" hidden="false" customHeight="false" outlineLevel="0" collapsed="false">
      <c r="A1276" s="4" t="n">
        <v>26</v>
      </c>
      <c r="B1276" s="4" t="n">
        <v>103</v>
      </c>
      <c r="C1276" s="4" t="n">
        <v>243</v>
      </c>
      <c r="D1276" s="4" t="n">
        <v>226</v>
      </c>
      <c r="E1276" s="6" t="n">
        <v>14.0202365715929</v>
      </c>
      <c r="F1276" s="6" t="n">
        <f aca="false">D1276+E1276</f>
        <v>240.020236571593</v>
      </c>
      <c r="G1276" s="6" t="n">
        <f aca="false">F1276-C1276</f>
        <v>-2.97976342840707</v>
      </c>
      <c r="H1276" s="4" t="str">
        <f aca="false">IF(G1276&gt;2,"LATE",IF(G1276&lt;-13,"EARLY","IN"))</f>
        <v>IN</v>
      </c>
      <c r="I1276" s="4" t="n">
        <f aca="false">C1276-D1276</f>
        <v>17</v>
      </c>
    </row>
    <row r="1277" customFormat="false" ht="15" hidden="false" customHeight="false" outlineLevel="0" collapsed="false">
      <c r="A1277" s="4" t="n">
        <v>26</v>
      </c>
      <c r="B1277" s="4" t="n">
        <v>105</v>
      </c>
      <c r="C1277" s="4" t="n">
        <v>149</v>
      </c>
      <c r="D1277" s="4" t="n">
        <v>133</v>
      </c>
      <c r="E1277" s="6" t="n">
        <v>16.6501527578638</v>
      </c>
      <c r="F1277" s="6" t="n">
        <f aca="false">D1277+E1277</f>
        <v>149.650152757864</v>
      </c>
      <c r="G1277" s="6" t="n">
        <f aca="false">F1277-C1277</f>
        <v>0.650152757863793</v>
      </c>
      <c r="H1277" s="4" t="str">
        <f aca="false">IF(G1277&gt;2,"LATE",IF(G1277&lt;-13,"EARLY","IN"))</f>
        <v>IN</v>
      </c>
      <c r="I1277" s="4" t="n">
        <f aca="false">C1277-D1277</f>
        <v>16</v>
      </c>
    </row>
    <row r="1278" customFormat="false" ht="15" hidden="false" customHeight="false" outlineLevel="0" collapsed="false">
      <c r="A1278" s="4" t="n">
        <v>26</v>
      </c>
      <c r="B1278" s="4" t="n">
        <v>109</v>
      </c>
      <c r="C1278" s="4" t="n">
        <v>160</v>
      </c>
      <c r="D1278" s="4" t="n">
        <v>146</v>
      </c>
      <c r="E1278" s="6" t="n">
        <v>10.1769081240269</v>
      </c>
      <c r="F1278" s="6" t="n">
        <f aca="false">D1278+E1278</f>
        <v>156.176908124027</v>
      </c>
      <c r="G1278" s="6" t="n">
        <f aca="false">F1278-C1278</f>
        <v>-3.82309187597312</v>
      </c>
      <c r="H1278" s="4" t="str">
        <f aca="false">IF(G1278&gt;2,"LATE",IF(G1278&lt;-13,"EARLY","IN"))</f>
        <v>IN</v>
      </c>
      <c r="I1278" s="4" t="n">
        <f aca="false">C1278-D1278</f>
        <v>14</v>
      </c>
    </row>
    <row r="1279" customFormat="false" ht="15" hidden="false" customHeight="false" outlineLevel="0" collapsed="false">
      <c r="A1279" s="4" t="n">
        <v>26</v>
      </c>
      <c r="B1279" s="4" t="n">
        <v>114</v>
      </c>
      <c r="C1279" s="4" t="n">
        <v>197</v>
      </c>
      <c r="D1279" s="4" t="n">
        <v>176</v>
      </c>
      <c r="E1279" s="6" t="n">
        <v>17.1824043778835</v>
      </c>
      <c r="F1279" s="6" t="n">
        <f aca="false">D1279+E1279</f>
        <v>193.182404377883</v>
      </c>
      <c r="G1279" s="6" t="n">
        <f aca="false">F1279-C1279</f>
        <v>-3.81759562211653</v>
      </c>
      <c r="H1279" s="4" t="str">
        <f aca="false">IF(G1279&gt;2,"LATE",IF(G1279&lt;-13,"EARLY","IN"))</f>
        <v>IN</v>
      </c>
      <c r="I1279" s="4" t="n">
        <f aca="false">C1279-D1279</f>
        <v>21</v>
      </c>
    </row>
    <row r="1280" customFormat="false" ht="15" hidden="false" customHeight="false" outlineLevel="0" collapsed="false">
      <c r="A1280" s="4" t="n">
        <v>26</v>
      </c>
      <c r="B1280" s="4" t="n">
        <v>130</v>
      </c>
      <c r="C1280" s="4" t="n">
        <v>143</v>
      </c>
      <c r="D1280" s="4" t="n">
        <v>128</v>
      </c>
      <c r="E1280" s="6" t="n">
        <v>16.2606392089738</v>
      </c>
      <c r="F1280" s="6" t="n">
        <f aca="false">D1280+E1280</f>
        <v>144.260639208974</v>
      </c>
      <c r="G1280" s="6" t="n">
        <f aca="false">F1280-C1280</f>
        <v>1.2606392089738</v>
      </c>
      <c r="H1280" s="4" t="str">
        <f aca="false">IF(G1280&gt;2,"LATE",IF(G1280&lt;-13,"EARLY","IN"))</f>
        <v>IN</v>
      </c>
      <c r="I1280" s="4" t="n">
        <f aca="false">C1280-D1280</f>
        <v>15</v>
      </c>
    </row>
    <row r="1281" customFormat="false" ht="15" hidden="false" customHeight="false" outlineLevel="0" collapsed="false">
      <c r="A1281" s="4" t="n">
        <v>26</v>
      </c>
      <c r="B1281" s="4" t="n">
        <v>138</v>
      </c>
      <c r="C1281" s="4" t="n">
        <v>181</v>
      </c>
      <c r="D1281" s="4" t="n">
        <v>169</v>
      </c>
      <c r="E1281" s="6" t="n">
        <v>11.1164997786398</v>
      </c>
      <c r="F1281" s="6" t="n">
        <f aca="false">D1281+E1281</f>
        <v>180.11649977864</v>
      </c>
      <c r="G1281" s="6" t="n">
        <f aca="false">F1281-C1281</f>
        <v>-0.88350022136018</v>
      </c>
      <c r="H1281" s="4" t="str">
        <f aca="false">IF(G1281&gt;2,"LATE",IF(G1281&lt;-13,"EARLY","IN"))</f>
        <v>IN</v>
      </c>
      <c r="I1281" s="4" t="n">
        <f aca="false">C1281-D1281</f>
        <v>12</v>
      </c>
    </row>
    <row r="1282" customFormat="false" ht="15" hidden="false" customHeight="false" outlineLevel="0" collapsed="false">
      <c r="A1282" s="4" t="n">
        <v>26</v>
      </c>
      <c r="B1282" s="4" t="n">
        <v>139</v>
      </c>
      <c r="C1282" s="4" t="n">
        <v>211</v>
      </c>
      <c r="D1282" s="4" t="n">
        <v>193</v>
      </c>
      <c r="E1282" s="6" t="n">
        <v>17.7566458345253</v>
      </c>
      <c r="F1282" s="6" t="n">
        <f aca="false">D1282+E1282</f>
        <v>210.756645834525</v>
      </c>
      <c r="G1282" s="6" t="n">
        <f aca="false">F1282-C1282</f>
        <v>-0.243354165474727</v>
      </c>
      <c r="H1282" s="4" t="str">
        <f aca="false">IF(G1282&gt;2,"LATE",IF(G1282&lt;-13,"EARLY","IN"))</f>
        <v>IN</v>
      </c>
      <c r="I1282" s="4" t="n">
        <f aca="false">C1282-D1282</f>
        <v>18</v>
      </c>
    </row>
    <row r="1283" customFormat="false" ht="15" hidden="false" customHeight="false" outlineLevel="0" collapsed="false">
      <c r="A1283" s="4" t="n">
        <v>26</v>
      </c>
      <c r="B1283" s="4" t="n">
        <v>141</v>
      </c>
      <c r="C1283" s="4" t="n">
        <v>277</v>
      </c>
      <c r="D1283" s="4" t="n">
        <v>258</v>
      </c>
      <c r="E1283" s="6" t="n">
        <v>17.9388272667114</v>
      </c>
      <c r="F1283" s="6" t="n">
        <f aca="false">D1283+E1283</f>
        <v>275.938827266711</v>
      </c>
      <c r="G1283" s="6" t="n">
        <f aca="false">F1283-C1283</f>
        <v>-1.06117273328863</v>
      </c>
      <c r="H1283" s="4" t="str">
        <f aca="false">IF(G1283&gt;2,"LATE",IF(G1283&lt;-13,"EARLY","IN"))</f>
        <v>IN</v>
      </c>
      <c r="I1283" s="4" t="n">
        <f aca="false">C1283-D1283</f>
        <v>19</v>
      </c>
    </row>
    <row r="1284" customFormat="false" ht="15" hidden="false" customHeight="false" outlineLevel="0" collapsed="false">
      <c r="A1284" s="4" t="n">
        <v>26</v>
      </c>
      <c r="B1284" s="4" t="n">
        <v>146</v>
      </c>
      <c r="C1284" s="4" t="n">
        <v>231</v>
      </c>
      <c r="D1284" s="4" t="n">
        <v>215</v>
      </c>
      <c r="E1284" s="6" t="n">
        <v>9.72166242159213</v>
      </c>
      <c r="F1284" s="6" t="n">
        <f aca="false">D1284+E1284</f>
        <v>224.721662421592</v>
      </c>
      <c r="G1284" s="6" t="n">
        <f aca="false">F1284-C1284</f>
        <v>-6.27833757840787</v>
      </c>
      <c r="H1284" s="4" t="str">
        <f aca="false">IF(G1284&gt;2,"LATE",IF(G1284&lt;-13,"EARLY","IN"))</f>
        <v>IN</v>
      </c>
      <c r="I1284" s="4" t="n">
        <f aca="false">C1284-D1284</f>
        <v>16</v>
      </c>
    </row>
    <row r="1285" customFormat="false" ht="15" hidden="false" customHeight="false" outlineLevel="0" collapsed="false">
      <c r="A1285" s="4" t="n">
        <v>26</v>
      </c>
      <c r="B1285" s="4" t="n">
        <v>147</v>
      </c>
      <c r="C1285" s="4" t="n">
        <v>323</v>
      </c>
      <c r="D1285" s="4" t="n">
        <v>287</v>
      </c>
      <c r="E1285" s="6" t="n">
        <v>14.7495886444458</v>
      </c>
      <c r="F1285" s="6" t="n">
        <f aca="false">D1285+E1285</f>
        <v>301.749588644446</v>
      </c>
      <c r="G1285" s="6" t="n">
        <f aca="false">F1285-C1285</f>
        <v>-21.2504113555542</v>
      </c>
      <c r="H1285" s="4" t="str">
        <f aca="false">IF(G1285&gt;2,"LATE",IF(G1285&lt;-13,"EARLY","IN"))</f>
        <v>EARLY</v>
      </c>
      <c r="I1285" s="4" t="n">
        <f aca="false">C1285-D1285</f>
        <v>36</v>
      </c>
    </row>
    <row r="1286" customFormat="false" ht="15" hidden="false" customHeight="false" outlineLevel="0" collapsed="false">
      <c r="A1286" s="4" t="n">
        <v>26</v>
      </c>
      <c r="B1286" s="4" t="n">
        <v>159</v>
      </c>
      <c r="C1286" s="4" t="n">
        <v>174</v>
      </c>
      <c r="D1286" s="4" t="n">
        <v>163</v>
      </c>
      <c r="E1286" s="6" t="n">
        <v>15.2432292793481</v>
      </c>
      <c r="F1286" s="6" t="n">
        <f aca="false">D1286+E1286</f>
        <v>178.243229279348</v>
      </c>
      <c r="G1286" s="6" t="n">
        <f aca="false">F1286-C1286</f>
        <v>4.24322927934804</v>
      </c>
      <c r="H1286" s="4" t="str">
        <f aca="false">IF(G1286&gt;2,"LATE",IF(G1286&lt;-13,"EARLY","IN"))</f>
        <v>LATE</v>
      </c>
      <c r="I1286" s="4" t="n">
        <f aca="false">C1286-D1286</f>
        <v>11</v>
      </c>
    </row>
    <row r="1287" customFormat="false" ht="15" hidden="false" customHeight="false" outlineLevel="0" collapsed="false">
      <c r="A1287" s="4" t="n">
        <v>26</v>
      </c>
      <c r="B1287" s="4" t="n">
        <v>160</v>
      </c>
      <c r="C1287" s="4" t="n">
        <v>147</v>
      </c>
      <c r="D1287" s="4" t="n">
        <v>130</v>
      </c>
      <c r="E1287" s="6" t="n">
        <v>15.1049492087642</v>
      </c>
      <c r="F1287" s="6" t="n">
        <f aca="false">D1287+E1287</f>
        <v>145.104949208764</v>
      </c>
      <c r="G1287" s="6" t="n">
        <f aca="false">F1287-C1287</f>
        <v>-1.89505079123583</v>
      </c>
      <c r="H1287" s="4" t="str">
        <f aca="false">IF(G1287&gt;2,"LATE",IF(G1287&lt;-13,"EARLY","IN"))</f>
        <v>IN</v>
      </c>
      <c r="I1287" s="4" t="n">
        <f aca="false">C1287-D1287</f>
        <v>17</v>
      </c>
    </row>
    <row r="1288" customFormat="false" ht="15" hidden="false" customHeight="false" outlineLevel="0" collapsed="false">
      <c r="A1288" s="4" t="n">
        <v>26</v>
      </c>
      <c r="B1288" s="4" t="n">
        <v>162</v>
      </c>
      <c r="C1288" s="4" t="n">
        <v>202</v>
      </c>
      <c r="D1288" s="4" t="n">
        <v>184</v>
      </c>
      <c r="E1288" s="6" t="n">
        <v>16.0451513977697</v>
      </c>
      <c r="F1288" s="6" t="n">
        <f aca="false">D1288+E1288</f>
        <v>200.04515139777</v>
      </c>
      <c r="G1288" s="6" t="n">
        <f aca="false">F1288-C1288</f>
        <v>-1.95484860223036</v>
      </c>
      <c r="H1288" s="4" t="str">
        <f aca="false">IF(G1288&gt;2,"LATE",IF(G1288&lt;-13,"EARLY","IN"))</f>
        <v>IN</v>
      </c>
      <c r="I1288" s="4" t="n">
        <f aca="false">C1288-D1288</f>
        <v>18</v>
      </c>
    </row>
    <row r="1289" customFormat="false" ht="15" hidden="false" customHeight="false" outlineLevel="0" collapsed="false">
      <c r="A1289" s="4" t="n">
        <v>26</v>
      </c>
      <c r="B1289" s="4" t="n">
        <v>169</v>
      </c>
      <c r="C1289" s="4" t="n">
        <v>218</v>
      </c>
      <c r="D1289" s="4" t="n">
        <v>202</v>
      </c>
      <c r="E1289" s="6" t="n">
        <v>15.5244576615579</v>
      </c>
      <c r="F1289" s="6" t="n">
        <f aca="false">D1289+E1289</f>
        <v>217.524457661558</v>
      </c>
      <c r="G1289" s="6" t="n">
        <f aca="false">F1289-C1289</f>
        <v>-0.475542338442125</v>
      </c>
      <c r="H1289" s="4" t="str">
        <f aca="false">IF(G1289&gt;2,"LATE",IF(G1289&lt;-13,"EARLY","IN"))</f>
        <v>IN</v>
      </c>
      <c r="I1289" s="4" t="n">
        <f aca="false">C1289-D1289</f>
        <v>16</v>
      </c>
    </row>
    <row r="1290" customFormat="false" ht="15" hidden="false" customHeight="false" outlineLevel="0" collapsed="false">
      <c r="A1290" s="4" t="n">
        <v>26</v>
      </c>
      <c r="B1290" s="4" t="n">
        <v>171</v>
      </c>
      <c r="C1290" s="4" t="n">
        <v>258</v>
      </c>
      <c r="D1290" s="4" t="n">
        <v>233</v>
      </c>
      <c r="E1290" s="6" t="n">
        <v>15.7023014497676</v>
      </c>
      <c r="F1290" s="6" t="n">
        <f aca="false">D1290+E1290</f>
        <v>248.702301449768</v>
      </c>
      <c r="G1290" s="6" t="n">
        <f aca="false">F1290-C1290</f>
        <v>-9.29769855023241</v>
      </c>
      <c r="H1290" s="4" t="str">
        <f aca="false">IF(G1290&gt;2,"LATE",IF(G1290&lt;-13,"EARLY","IN"))</f>
        <v>IN</v>
      </c>
      <c r="I1290" s="4" t="n">
        <f aca="false">C1290-D1290</f>
        <v>25</v>
      </c>
    </row>
    <row r="1291" customFormat="false" ht="15" hidden="false" customHeight="false" outlineLevel="0" collapsed="false">
      <c r="A1291" s="4" t="n">
        <v>26</v>
      </c>
      <c r="B1291" s="4" t="n">
        <v>172</v>
      </c>
      <c r="C1291" s="4" t="n">
        <v>222</v>
      </c>
      <c r="D1291" s="4" t="n">
        <v>210</v>
      </c>
      <c r="E1291" s="6" t="n">
        <v>14.3302155521858</v>
      </c>
      <c r="F1291" s="6" t="n">
        <f aca="false">D1291+E1291</f>
        <v>224.330215552186</v>
      </c>
      <c r="G1291" s="6" t="n">
        <f aca="false">F1291-C1291</f>
        <v>2.33021555218585</v>
      </c>
      <c r="H1291" s="4" t="str">
        <f aca="false">IF(G1291&gt;2,"LATE",IF(G1291&lt;-13,"EARLY","IN"))</f>
        <v>LATE</v>
      </c>
      <c r="I1291" s="4" t="n">
        <f aca="false">C1291-D1291</f>
        <v>12</v>
      </c>
    </row>
    <row r="1292" customFormat="false" ht="15" hidden="false" customHeight="false" outlineLevel="0" collapsed="false">
      <c r="A1292" s="4" t="n">
        <v>26</v>
      </c>
      <c r="B1292" s="4" t="n">
        <v>174</v>
      </c>
      <c r="C1292" s="4" t="n">
        <v>178</v>
      </c>
      <c r="D1292" s="4" t="n">
        <v>161</v>
      </c>
      <c r="E1292" s="6" t="n">
        <v>15.9375782801793</v>
      </c>
      <c r="F1292" s="6" t="n">
        <f aca="false">D1292+E1292</f>
        <v>176.937578280179</v>
      </c>
      <c r="G1292" s="6" t="n">
        <f aca="false">F1292-C1292</f>
        <v>-1.06242171982069</v>
      </c>
      <c r="H1292" s="4" t="str">
        <f aca="false">IF(G1292&gt;2,"LATE",IF(G1292&lt;-13,"EARLY","IN"))</f>
        <v>IN</v>
      </c>
      <c r="I1292" s="4" t="n">
        <f aca="false">C1292-D1292</f>
        <v>17</v>
      </c>
    </row>
    <row r="1293" customFormat="false" ht="15" hidden="false" customHeight="false" outlineLevel="0" collapsed="false">
      <c r="A1293" s="4" t="n">
        <v>26</v>
      </c>
      <c r="B1293" s="4" t="n">
        <v>176</v>
      </c>
      <c r="C1293" s="4" t="n">
        <v>197</v>
      </c>
      <c r="D1293" s="4" t="n">
        <v>174</v>
      </c>
      <c r="E1293" s="6" t="n">
        <v>15.4973160948571</v>
      </c>
      <c r="F1293" s="6" t="n">
        <f aca="false">D1293+E1293</f>
        <v>189.497316094857</v>
      </c>
      <c r="G1293" s="6" t="n">
        <f aca="false">F1293-C1293</f>
        <v>-7.50268390514296</v>
      </c>
      <c r="H1293" s="4" t="str">
        <f aca="false">IF(G1293&gt;2,"LATE",IF(G1293&lt;-13,"EARLY","IN"))</f>
        <v>IN</v>
      </c>
      <c r="I1293" s="4" t="n">
        <f aca="false">C1293-D1293</f>
        <v>23</v>
      </c>
    </row>
    <row r="1294" customFormat="false" ht="15" hidden="false" customHeight="false" outlineLevel="0" collapsed="false">
      <c r="A1294" s="4" t="n">
        <v>26</v>
      </c>
      <c r="B1294" s="4" t="n">
        <v>180</v>
      </c>
      <c r="C1294" s="4" t="n">
        <v>200</v>
      </c>
      <c r="D1294" s="4" t="n">
        <v>180</v>
      </c>
      <c r="E1294" s="6" t="n">
        <v>15.6454437155771</v>
      </c>
      <c r="F1294" s="6" t="n">
        <f aca="false">D1294+E1294</f>
        <v>195.645443715577</v>
      </c>
      <c r="G1294" s="6" t="n">
        <f aca="false">F1294-C1294</f>
        <v>-4.35455628442287</v>
      </c>
      <c r="H1294" s="4" t="str">
        <f aca="false">IF(G1294&gt;2,"LATE",IF(G1294&lt;-13,"EARLY","IN"))</f>
        <v>IN</v>
      </c>
      <c r="I1294" s="4" t="n">
        <f aca="false">C1294-D1294</f>
        <v>20</v>
      </c>
    </row>
    <row r="1295" customFormat="false" ht="15" hidden="false" customHeight="false" outlineLevel="0" collapsed="false">
      <c r="A1295" s="4" t="n">
        <v>26</v>
      </c>
      <c r="B1295" s="4" t="n">
        <v>182</v>
      </c>
      <c r="C1295" s="4" t="n">
        <v>220</v>
      </c>
      <c r="D1295" s="4" t="n">
        <v>194</v>
      </c>
      <c r="E1295" s="6" t="n">
        <v>14.0281548188919</v>
      </c>
      <c r="F1295" s="6" t="n">
        <f aca="false">D1295+E1295</f>
        <v>208.028154818892</v>
      </c>
      <c r="G1295" s="6" t="n">
        <f aca="false">F1295-C1295</f>
        <v>-11.9718451811081</v>
      </c>
      <c r="H1295" s="4" t="str">
        <f aca="false">IF(G1295&gt;2,"LATE",IF(G1295&lt;-13,"EARLY","IN"))</f>
        <v>IN</v>
      </c>
      <c r="I1295" s="4" t="n">
        <f aca="false">C1295-D1295</f>
        <v>26</v>
      </c>
    </row>
    <row r="1296" customFormat="false" ht="15" hidden="false" customHeight="false" outlineLevel="0" collapsed="false">
      <c r="A1296" s="4" t="n">
        <v>26</v>
      </c>
      <c r="B1296" s="4" t="n">
        <v>183</v>
      </c>
      <c r="C1296" s="4" t="n">
        <v>225</v>
      </c>
      <c r="D1296" s="4" t="n">
        <v>206</v>
      </c>
      <c r="E1296" s="6" t="n">
        <v>14.9634106639871</v>
      </c>
      <c r="F1296" s="6" t="n">
        <f aca="false">D1296+E1296</f>
        <v>220.963410663987</v>
      </c>
      <c r="G1296" s="6" t="n">
        <f aca="false">F1296-C1296</f>
        <v>-4.0365893360129</v>
      </c>
      <c r="H1296" s="4" t="str">
        <f aca="false">IF(G1296&gt;2,"LATE",IF(G1296&lt;-13,"EARLY","IN"))</f>
        <v>IN</v>
      </c>
      <c r="I1296" s="4" t="n">
        <f aca="false">C1296-D1296</f>
        <v>19</v>
      </c>
    </row>
    <row r="1297" customFormat="false" ht="15" hidden="false" customHeight="false" outlineLevel="0" collapsed="false">
      <c r="A1297" s="4" t="n">
        <v>26</v>
      </c>
      <c r="B1297" s="4" t="n">
        <v>195</v>
      </c>
      <c r="C1297" s="4" t="n">
        <v>284</v>
      </c>
      <c r="D1297" s="4" t="n">
        <v>264</v>
      </c>
      <c r="E1297" s="6" t="n">
        <v>12.654287334031</v>
      </c>
      <c r="F1297" s="6" t="n">
        <f aca="false">D1297+E1297</f>
        <v>276.654287334031</v>
      </c>
      <c r="G1297" s="6" t="n">
        <f aca="false">F1297-C1297</f>
        <v>-7.34571266596896</v>
      </c>
      <c r="H1297" s="4" t="str">
        <f aca="false">IF(G1297&gt;2,"LATE",IF(G1297&lt;-13,"EARLY","IN"))</f>
        <v>IN</v>
      </c>
      <c r="I1297" s="4" t="n">
        <f aca="false">C1297-D1297</f>
        <v>20</v>
      </c>
    </row>
    <row r="1298" customFormat="false" ht="15" hidden="false" customHeight="false" outlineLevel="0" collapsed="false">
      <c r="A1298" s="4" t="n">
        <v>26</v>
      </c>
      <c r="B1298" s="4" t="n">
        <v>197</v>
      </c>
      <c r="C1298" s="4" t="n">
        <v>157</v>
      </c>
      <c r="D1298" s="4" t="n">
        <v>140</v>
      </c>
      <c r="E1298" s="6" t="n">
        <v>12.1684555843685</v>
      </c>
      <c r="F1298" s="6" t="n">
        <f aca="false">D1298+E1298</f>
        <v>152.168455584368</v>
      </c>
      <c r="G1298" s="6" t="n">
        <f aca="false">F1298-C1298</f>
        <v>-4.83154441563153</v>
      </c>
      <c r="H1298" s="4" t="str">
        <f aca="false">IF(G1298&gt;2,"LATE",IF(G1298&lt;-13,"EARLY","IN"))</f>
        <v>IN</v>
      </c>
      <c r="I1298" s="4" t="n">
        <f aca="false">C1298-D1298</f>
        <v>17</v>
      </c>
    </row>
    <row r="1299" customFormat="false" ht="15" hidden="false" customHeight="false" outlineLevel="0" collapsed="false">
      <c r="A1299" s="4" t="n">
        <v>26</v>
      </c>
      <c r="B1299" s="4" t="n">
        <v>201</v>
      </c>
      <c r="C1299" s="4" t="n">
        <v>201</v>
      </c>
      <c r="D1299" s="4" t="n">
        <v>180</v>
      </c>
      <c r="E1299" s="6" t="n">
        <v>14.3528354570976</v>
      </c>
      <c r="F1299" s="6" t="n">
        <f aca="false">D1299+E1299</f>
        <v>194.352835457098</v>
      </c>
      <c r="G1299" s="6" t="n">
        <f aca="false">F1299-C1299</f>
        <v>-6.6471645429024</v>
      </c>
      <c r="H1299" s="4" t="str">
        <f aca="false">IF(G1299&gt;2,"LATE",IF(G1299&lt;-13,"EARLY","IN"))</f>
        <v>IN</v>
      </c>
      <c r="I1299" s="4" t="n">
        <f aca="false">C1299-D1299</f>
        <v>21</v>
      </c>
    </row>
    <row r="1300" customFormat="false" ht="15" hidden="false" customHeight="false" outlineLevel="0" collapsed="false">
      <c r="A1300" s="4" t="n">
        <v>26</v>
      </c>
      <c r="B1300" s="4" t="n">
        <v>209</v>
      </c>
      <c r="C1300" s="4" t="n">
        <v>252</v>
      </c>
      <c r="D1300" s="4" t="n">
        <v>228</v>
      </c>
      <c r="E1300" s="6" t="n">
        <v>10.7364808198004</v>
      </c>
      <c r="F1300" s="6" t="n">
        <f aca="false">D1300+E1300</f>
        <v>238.7364808198</v>
      </c>
      <c r="G1300" s="6" t="n">
        <f aca="false">F1300-C1300</f>
        <v>-13.2635191801996</v>
      </c>
      <c r="H1300" s="4" t="str">
        <f aca="false">IF(G1300&gt;2,"LATE",IF(G1300&lt;-13,"EARLY","IN"))</f>
        <v>EARLY</v>
      </c>
      <c r="I1300" s="4" t="n">
        <f aca="false">C1300-D1300</f>
        <v>24</v>
      </c>
    </row>
    <row r="1301" customFormat="false" ht="15" hidden="false" customHeight="false" outlineLevel="0" collapsed="false">
      <c r="A1301" s="4" t="n">
        <v>26</v>
      </c>
      <c r="B1301" s="4" t="n">
        <v>218</v>
      </c>
      <c r="C1301" s="4" t="n">
        <v>133</v>
      </c>
      <c r="D1301" s="4" t="n">
        <v>122</v>
      </c>
      <c r="E1301" s="6" t="n">
        <v>8.89784321490721</v>
      </c>
      <c r="F1301" s="6" t="n">
        <f aca="false">D1301+E1301</f>
        <v>130.897843214907</v>
      </c>
      <c r="G1301" s="6" t="n">
        <f aca="false">F1301-C1301</f>
        <v>-2.1021567850928</v>
      </c>
      <c r="H1301" s="4" t="str">
        <f aca="false">IF(G1301&gt;2,"LATE",IF(G1301&lt;-13,"EARLY","IN"))</f>
        <v>IN</v>
      </c>
      <c r="I1301" s="4" t="n">
        <f aca="false">C1301-D1301</f>
        <v>11</v>
      </c>
    </row>
    <row r="1302" customFormat="false" ht="15" hidden="false" customHeight="false" outlineLevel="0" collapsed="false">
      <c r="A1302" s="4" t="n">
        <v>27</v>
      </c>
      <c r="B1302" s="4" t="n">
        <v>3</v>
      </c>
      <c r="C1302" s="4" t="n">
        <v>150</v>
      </c>
      <c r="D1302" s="4" t="n">
        <v>141</v>
      </c>
      <c r="E1302" s="6" t="n">
        <v>11.9882536141655</v>
      </c>
      <c r="F1302" s="6" t="n">
        <f aca="false">D1302+E1302</f>
        <v>152.988253614165</v>
      </c>
      <c r="G1302" s="6" t="n">
        <f aca="false">F1302-C1302</f>
        <v>2.98825361416544</v>
      </c>
      <c r="H1302" s="4" t="str">
        <f aca="false">IF(G1302&gt;2,"LATE",IF(G1302&lt;-13,"EARLY","IN"))</f>
        <v>LATE</v>
      </c>
      <c r="I1302" s="4" t="n">
        <f aca="false">C1302-D1302</f>
        <v>9</v>
      </c>
    </row>
    <row r="1303" customFormat="false" ht="15" hidden="false" customHeight="false" outlineLevel="0" collapsed="false">
      <c r="A1303" s="4" t="n">
        <v>27</v>
      </c>
      <c r="B1303" s="4" t="n">
        <v>5</v>
      </c>
      <c r="C1303" s="4" t="n">
        <v>357</v>
      </c>
      <c r="D1303" s="4" t="n">
        <v>333</v>
      </c>
      <c r="E1303" s="6" t="n">
        <v>14.757757239428</v>
      </c>
      <c r="F1303" s="6" t="n">
        <f aca="false">D1303+E1303</f>
        <v>347.757757239428</v>
      </c>
      <c r="G1303" s="6" t="n">
        <f aca="false">F1303-C1303</f>
        <v>-9.24224276057203</v>
      </c>
      <c r="H1303" s="4" t="str">
        <f aca="false">IF(G1303&gt;2,"LATE",IF(G1303&lt;-13,"EARLY","IN"))</f>
        <v>IN</v>
      </c>
      <c r="I1303" s="4" t="n">
        <f aca="false">C1303-D1303</f>
        <v>24</v>
      </c>
    </row>
    <row r="1304" customFormat="false" ht="15" hidden="false" customHeight="false" outlineLevel="0" collapsed="false">
      <c r="A1304" s="4" t="n">
        <v>27</v>
      </c>
      <c r="B1304" s="4" t="n">
        <v>7</v>
      </c>
      <c r="C1304" s="4" t="n">
        <v>168</v>
      </c>
      <c r="D1304" s="4" t="n">
        <v>143</v>
      </c>
      <c r="E1304" s="6" t="n">
        <v>15.6683371788048</v>
      </c>
      <c r="F1304" s="6" t="n">
        <f aca="false">D1304+E1304</f>
        <v>158.668337178805</v>
      </c>
      <c r="G1304" s="6" t="n">
        <f aca="false">F1304-C1304</f>
        <v>-9.33166282119521</v>
      </c>
      <c r="H1304" s="4" t="str">
        <f aca="false">IF(G1304&gt;2,"LATE",IF(G1304&lt;-13,"EARLY","IN"))</f>
        <v>IN</v>
      </c>
      <c r="I1304" s="4" t="n">
        <f aca="false">C1304-D1304</f>
        <v>25</v>
      </c>
    </row>
    <row r="1305" customFormat="false" ht="15" hidden="false" customHeight="false" outlineLevel="0" collapsed="false">
      <c r="A1305" s="4" t="n">
        <v>27</v>
      </c>
      <c r="B1305" s="4" t="n">
        <v>8</v>
      </c>
      <c r="C1305" s="4" t="n">
        <v>276</v>
      </c>
      <c r="D1305" s="4" t="n">
        <v>260</v>
      </c>
      <c r="E1305" s="6" t="n">
        <v>13.3410659008144</v>
      </c>
      <c r="F1305" s="6" t="n">
        <f aca="false">D1305+E1305</f>
        <v>273.341065900814</v>
      </c>
      <c r="G1305" s="6" t="n">
        <f aca="false">F1305-C1305</f>
        <v>-2.65893409918567</v>
      </c>
      <c r="H1305" s="4" t="str">
        <f aca="false">IF(G1305&gt;2,"LATE",IF(G1305&lt;-13,"EARLY","IN"))</f>
        <v>IN</v>
      </c>
      <c r="I1305" s="4" t="n">
        <f aca="false">C1305-D1305</f>
        <v>16</v>
      </c>
    </row>
    <row r="1306" customFormat="false" ht="15" hidden="false" customHeight="false" outlineLevel="0" collapsed="false">
      <c r="A1306" s="4" t="n">
        <v>27</v>
      </c>
      <c r="B1306" s="4" t="n">
        <v>9</v>
      </c>
      <c r="C1306" s="4" t="n">
        <v>181</v>
      </c>
      <c r="D1306" s="4" t="n">
        <v>158</v>
      </c>
      <c r="E1306" s="6" t="n">
        <v>14.6970135617657</v>
      </c>
      <c r="F1306" s="6" t="n">
        <f aca="false">D1306+E1306</f>
        <v>172.697013561766</v>
      </c>
      <c r="G1306" s="6" t="n">
        <f aca="false">F1306-C1306</f>
        <v>-8.30298643823431</v>
      </c>
      <c r="H1306" s="4" t="str">
        <f aca="false">IF(G1306&gt;2,"LATE",IF(G1306&lt;-13,"EARLY","IN"))</f>
        <v>IN</v>
      </c>
      <c r="I1306" s="4" t="n">
        <f aca="false">C1306-D1306</f>
        <v>23</v>
      </c>
    </row>
    <row r="1307" customFormat="false" ht="15" hidden="false" customHeight="false" outlineLevel="0" collapsed="false">
      <c r="A1307" s="4" t="n">
        <v>27</v>
      </c>
      <c r="B1307" s="4" t="n">
        <v>11</v>
      </c>
      <c r="C1307" s="4" t="n">
        <v>210</v>
      </c>
      <c r="D1307" s="4" t="n">
        <v>184</v>
      </c>
      <c r="E1307" s="6" t="n">
        <v>15.6215035862033</v>
      </c>
      <c r="F1307" s="6" t="n">
        <f aca="false">D1307+E1307</f>
        <v>199.621503586203</v>
      </c>
      <c r="G1307" s="6" t="n">
        <f aca="false">F1307-C1307</f>
        <v>-10.3784964137967</v>
      </c>
      <c r="H1307" s="4" t="str">
        <f aca="false">IF(G1307&gt;2,"LATE",IF(G1307&lt;-13,"EARLY","IN"))</f>
        <v>IN</v>
      </c>
      <c r="I1307" s="4" t="n">
        <f aca="false">C1307-D1307</f>
        <v>26</v>
      </c>
    </row>
    <row r="1308" customFormat="false" ht="15" hidden="false" customHeight="false" outlineLevel="0" collapsed="false">
      <c r="A1308" s="4" t="n">
        <v>27</v>
      </c>
      <c r="B1308" s="4" t="n">
        <v>21</v>
      </c>
      <c r="C1308" s="4" t="n">
        <v>205</v>
      </c>
      <c r="D1308" s="4" t="n">
        <v>182</v>
      </c>
      <c r="E1308" s="6" t="n">
        <v>13.5334860555749</v>
      </c>
      <c r="F1308" s="6" t="n">
        <f aca="false">D1308+E1308</f>
        <v>195.533486055575</v>
      </c>
      <c r="G1308" s="6" t="n">
        <f aca="false">F1308-C1308</f>
        <v>-9.46651394442509</v>
      </c>
      <c r="H1308" s="4" t="str">
        <f aca="false">IF(G1308&gt;2,"LATE",IF(G1308&lt;-13,"EARLY","IN"))</f>
        <v>IN</v>
      </c>
      <c r="I1308" s="4" t="n">
        <f aca="false">C1308-D1308</f>
        <v>23</v>
      </c>
    </row>
    <row r="1309" customFormat="false" ht="15" hidden="false" customHeight="false" outlineLevel="0" collapsed="false">
      <c r="A1309" s="4" t="n">
        <v>27</v>
      </c>
      <c r="B1309" s="4" t="n">
        <v>23</v>
      </c>
      <c r="C1309" s="4" t="n">
        <v>213</v>
      </c>
      <c r="D1309" s="4" t="n">
        <v>193</v>
      </c>
      <c r="E1309" s="6" t="n">
        <v>19.0785838567107</v>
      </c>
      <c r="F1309" s="6" t="n">
        <f aca="false">D1309+E1309</f>
        <v>212.078583856711</v>
      </c>
      <c r="G1309" s="6" t="n">
        <f aca="false">F1309-C1309</f>
        <v>-0.921416143289292</v>
      </c>
      <c r="H1309" s="4" t="str">
        <f aca="false">IF(G1309&gt;2,"LATE",IF(G1309&lt;-13,"EARLY","IN"))</f>
        <v>IN</v>
      </c>
      <c r="I1309" s="4" t="n">
        <f aca="false">C1309-D1309</f>
        <v>20</v>
      </c>
    </row>
    <row r="1310" customFormat="false" ht="15" hidden="false" customHeight="false" outlineLevel="0" collapsed="false">
      <c r="A1310" s="4" t="n">
        <v>27</v>
      </c>
      <c r="B1310" s="4" t="n">
        <v>25</v>
      </c>
      <c r="C1310" s="4" t="n">
        <v>281</v>
      </c>
      <c r="D1310" s="4" t="n">
        <v>262</v>
      </c>
      <c r="E1310" s="6" t="n">
        <v>14.6081096053991</v>
      </c>
      <c r="F1310" s="6" t="n">
        <f aca="false">D1310+E1310</f>
        <v>276.608109605399</v>
      </c>
      <c r="G1310" s="6" t="n">
        <f aca="false">F1310-C1310</f>
        <v>-4.39189039460092</v>
      </c>
      <c r="H1310" s="4" t="str">
        <f aca="false">IF(G1310&gt;2,"LATE",IF(G1310&lt;-13,"EARLY","IN"))</f>
        <v>IN</v>
      </c>
      <c r="I1310" s="4" t="n">
        <f aca="false">C1310-D1310</f>
        <v>19</v>
      </c>
    </row>
    <row r="1311" customFormat="false" ht="15" hidden="false" customHeight="false" outlineLevel="0" collapsed="false">
      <c r="A1311" s="4" t="n">
        <v>27</v>
      </c>
      <c r="B1311" s="4" t="n">
        <v>30</v>
      </c>
      <c r="C1311" s="4" t="n">
        <v>200</v>
      </c>
      <c r="D1311" s="4" t="n">
        <v>180</v>
      </c>
      <c r="E1311" s="6" t="n">
        <v>16.597626367621</v>
      </c>
      <c r="F1311" s="6" t="n">
        <f aca="false">D1311+E1311</f>
        <v>196.597626367621</v>
      </c>
      <c r="G1311" s="6" t="n">
        <f aca="false">F1311-C1311</f>
        <v>-3.40237363237901</v>
      </c>
      <c r="H1311" s="4" t="str">
        <f aca="false">IF(G1311&gt;2,"LATE",IF(G1311&lt;-13,"EARLY","IN"))</f>
        <v>IN</v>
      </c>
      <c r="I1311" s="4" t="n">
        <f aca="false">C1311-D1311</f>
        <v>20</v>
      </c>
    </row>
    <row r="1312" customFormat="false" ht="15" hidden="false" customHeight="false" outlineLevel="0" collapsed="false">
      <c r="A1312" s="4" t="n">
        <v>27</v>
      </c>
      <c r="B1312" s="4" t="n">
        <v>32</v>
      </c>
      <c r="C1312" s="4" t="n">
        <v>193</v>
      </c>
      <c r="D1312" s="4" t="n">
        <v>176</v>
      </c>
      <c r="E1312" s="6" t="n">
        <v>17.3169872138938</v>
      </c>
      <c r="F1312" s="6" t="n">
        <f aca="false">D1312+E1312</f>
        <v>193.316987213894</v>
      </c>
      <c r="G1312" s="6" t="n">
        <f aca="false">F1312-C1312</f>
        <v>0.316987213893782</v>
      </c>
      <c r="H1312" s="4" t="str">
        <f aca="false">IF(G1312&gt;2,"LATE",IF(G1312&lt;-13,"EARLY","IN"))</f>
        <v>IN</v>
      </c>
      <c r="I1312" s="4" t="n">
        <f aca="false">C1312-D1312</f>
        <v>17</v>
      </c>
    </row>
    <row r="1313" customFormat="false" ht="15" hidden="false" customHeight="false" outlineLevel="0" collapsed="false">
      <c r="A1313" s="4" t="n">
        <v>27</v>
      </c>
      <c r="B1313" s="4" t="n">
        <v>36</v>
      </c>
      <c r="C1313" s="4" t="n">
        <v>147</v>
      </c>
      <c r="D1313" s="4" t="n">
        <v>127</v>
      </c>
      <c r="E1313" s="6" t="n">
        <v>13.9413001185199</v>
      </c>
      <c r="F1313" s="6" t="n">
        <f aca="false">D1313+E1313</f>
        <v>140.94130011852</v>
      </c>
      <c r="G1313" s="6" t="n">
        <f aca="false">F1313-C1313</f>
        <v>-6.0586998814801</v>
      </c>
      <c r="H1313" s="4" t="str">
        <f aca="false">IF(G1313&gt;2,"LATE",IF(G1313&lt;-13,"EARLY","IN"))</f>
        <v>IN</v>
      </c>
      <c r="I1313" s="4" t="n">
        <f aca="false">C1313-D1313</f>
        <v>20</v>
      </c>
    </row>
    <row r="1314" customFormat="false" ht="15" hidden="false" customHeight="false" outlineLevel="0" collapsed="false">
      <c r="A1314" s="4" t="n">
        <v>27</v>
      </c>
      <c r="B1314" s="4" t="n">
        <v>47</v>
      </c>
      <c r="C1314" s="4" t="n">
        <v>227</v>
      </c>
      <c r="D1314" s="4" t="n">
        <v>205</v>
      </c>
      <c r="E1314" s="6" t="n">
        <v>16.1365764235881</v>
      </c>
      <c r="F1314" s="6" t="n">
        <f aca="false">D1314+E1314</f>
        <v>221.136576423588</v>
      </c>
      <c r="G1314" s="6" t="n">
        <f aca="false">F1314-C1314</f>
        <v>-5.86342357641192</v>
      </c>
      <c r="H1314" s="4" t="str">
        <f aca="false">IF(G1314&gt;2,"LATE",IF(G1314&lt;-13,"EARLY","IN"))</f>
        <v>IN</v>
      </c>
      <c r="I1314" s="4" t="n">
        <f aca="false">C1314-D1314</f>
        <v>22</v>
      </c>
    </row>
    <row r="1315" customFormat="false" ht="15" hidden="false" customHeight="false" outlineLevel="0" collapsed="false">
      <c r="A1315" s="4" t="n">
        <v>27</v>
      </c>
      <c r="B1315" s="4" t="n">
        <v>48</v>
      </c>
      <c r="C1315" s="4" t="n">
        <v>227</v>
      </c>
      <c r="D1315" s="4" t="n">
        <v>212</v>
      </c>
      <c r="E1315" s="6" t="n">
        <v>13.7522253542933</v>
      </c>
      <c r="F1315" s="6" t="n">
        <f aca="false">D1315+E1315</f>
        <v>225.752225354293</v>
      </c>
      <c r="G1315" s="6" t="n">
        <f aca="false">F1315-C1315</f>
        <v>-1.24777464570667</v>
      </c>
      <c r="H1315" s="4" t="str">
        <f aca="false">IF(G1315&gt;2,"LATE",IF(G1315&lt;-13,"EARLY","IN"))</f>
        <v>IN</v>
      </c>
      <c r="I1315" s="4" t="n">
        <f aca="false">C1315-D1315</f>
        <v>15</v>
      </c>
    </row>
    <row r="1316" customFormat="false" ht="15" hidden="false" customHeight="false" outlineLevel="0" collapsed="false">
      <c r="A1316" s="4" t="n">
        <v>27</v>
      </c>
      <c r="B1316" s="4" t="n">
        <v>54</v>
      </c>
      <c r="C1316" s="4" t="n">
        <v>249</v>
      </c>
      <c r="D1316" s="4" t="n">
        <v>234</v>
      </c>
      <c r="E1316" s="6" t="n">
        <v>13.8353723035512</v>
      </c>
      <c r="F1316" s="6" t="n">
        <f aca="false">D1316+E1316</f>
        <v>247.835372303551</v>
      </c>
      <c r="G1316" s="6" t="n">
        <f aca="false">F1316-C1316</f>
        <v>-1.16462769644883</v>
      </c>
      <c r="H1316" s="4" t="str">
        <f aca="false">IF(G1316&gt;2,"LATE",IF(G1316&lt;-13,"EARLY","IN"))</f>
        <v>IN</v>
      </c>
      <c r="I1316" s="4" t="n">
        <f aca="false">C1316-D1316</f>
        <v>15</v>
      </c>
    </row>
    <row r="1317" customFormat="false" ht="15" hidden="false" customHeight="false" outlineLevel="0" collapsed="false">
      <c r="A1317" s="4" t="n">
        <v>27</v>
      </c>
      <c r="B1317" s="4" t="n">
        <v>57</v>
      </c>
      <c r="C1317" s="4" t="n">
        <v>150</v>
      </c>
      <c r="D1317" s="4" t="n">
        <v>129</v>
      </c>
      <c r="E1317" s="6" t="n">
        <v>15.238593956874</v>
      </c>
      <c r="F1317" s="6" t="n">
        <f aca="false">D1317+E1317</f>
        <v>144.238593956874</v>
      </c>
      <c r="G1317" s="6" t="n">
        <f aca="false">F1317-C1317</f>
        <v>-5.76140604312604</v>
      </c>
      <c r="H1317" s="4" t="str">
        <f aca="false">IF(G1317&gt;2,"LATE",IF(G1317&lt;-13,"EARLY","IN"))</f>
        <v>IN</v>
      </c>
      <c r="I1317" s="4" t="n">
        <f aca="false">C1317-D1317</f>
        <v>21</v>
      </c>
    </row>
    <row r="1318" customFormat="false" ht="15" hidden="false" customHeight="false" outlineLevel="0" collapsed="false">
      <c r="A1318" s="4" t="n">
        <v>27</v>
      </c>
      <c r="B1318" s="4" t="n">
        <v>66</v>
      </c>
      <c r="C1318" s="4" t="n">
        <v>190</v>
      </c>
      <c r="D1318" s="4" t="n">
        <v>172</v>
      </c>
      <c r="E1318" s="6" t="n">
        <v>15.3781523915733</v>
      </c>
      <c r="F1318" s="6" t="n">
        <f aca="false">D1318+E1318</f>
        <v>187.378152391573</v>
      </c>
      <c r="G1318" s="6" t="n">
        <f aca="false">F1318-C1318</f>
        <v>-2.62184760842669</v>
      </c>
      <c r="H1318" s="4" t="str">
        <f aca="false">IF(G1318&gt;2,"LATE",IF(G1318&lt;-13,"EARLY","IN"))</f>
        <v>IN</v>
      </c>
      <c r="I1318" s="4" t="n">
        <f aca="false">C1318-D1318</f>
        <v>18</v>
      </c>
    </row>
    <row r="1319" customFormat="false" ht="15" hidden="false" customHeight="false" outlineLevel="0" collapsed="false">
      <c r="A1319" s="4" t="n">
        <v>27</v>
      </c>
      <c r="B1319" s="4" t="n">
        <v>71</v>
      </c>
      <c r="C1319" s="4" t="n">
        <v>225</v>
      </c>
      <c r="D1319" s="4" t="n">
        <v>206</v>
      </c>
      <c r="E1319" s="6" t="n">
        <v>13.8075903492506</v>
      </c>
      <c r="F1319" s="6" t="n">
        <f aca="false">D1319+E1319</f>
        <v>219.807590349251</v>
      </c>
      <c r="G1319" s="6" t="n">
        <f aca="false">F1319-C1319</f>
        <v>-5.19240965074937</v>
      </c>
      <c r="H1319" s="4" t="str">
        <f aca="false">IF(G1319&gt;2,"LATE",IF(G1319&lt;-13,"EARLY","IN"))</f>
        <v>IN</v>
      </c>
      <c r="I1319" s="4" t="n">
        <f aca="false">C1319-D1319</f>
        <v>19</v>
      </c>
    </row>
    <row r="1320" customFormat="false" ht="15" hidden="false" customHeight="false" outlineLevel="0" collapsed="false">
      <c r="A1320" s="4" t="n">
        <v>27</v>
      </c>
      <c r="B1320" s="4" t="n">
        <v>80</v>
      </c>
      <c r="C1320" s="4" t="n">
        <v>284</v>
      </c>
      <c r="D1320" s="4" t="n">
        <v>269</v>
      </c>
      <c r="E1320" s="6" t="n">
        <v>14.9177577934038</v>
      </c>
      <c r="F1320" s="6" t="n">
        <f aca="false">D1320+E1320</f>
        <v>283.917757793404</v>
      </c>
      <c r="G1320" s="6" t="n">
        <f aca="false">F1320-C1320</f>
        <v>-0.0822422065962201</v>
      </c>
      <c r="H1320" s="4" t="str">
        <f aca="false">IF(G1320&gt;2,"LATE",IF(G1320&lt;-13,"EARLY","IN"))</f>
        <v>IN</v>
      </c>
      <c r="I1320" s="4" t="n">
        <f aca="false">C1320-D1320</f>
        <v>15</v>
      </c>
    </row>
    <row r="1321" customFormat="false" ht="15" hidden="false" customHeight="false" outlineLevel="0" collapsed="false">
      <c r="A1321" s="4" t="n">
        <v>27</v>
      </c>
      <c r="B1321" s="4" t="n">
        <v>81</v>
      </c>
      <c r="C1321" s="4" t="n">
        <v>199</v>
      </c>
      <c r="D1321" s="4" t="n">
        <v>181</v>
      </c>
      <c r="E1321" s="6" t="n">
        <v>14.3466436700535</v>
      </c>
      <c r="F1321" s="6" t="n">
        <f aca="false">D1321+E1321</f>
        <v>195.346643670053</v>
      </c>
      <c r="G1321" s="6" t="n">
        <f aca="false">F1321-C1321</f>
        <v>-3.65335632994652</v>
      </c>
      <c r="H1321" s="4" t="str">
        <f aca="false">IF(G1321&gt;2,"LATE",IF(G1321&lt;-13,"EARLY","IN"))</f>
        <v>IN</v>
      </c>
      <c r="I1321" s="4" t="n">
        <f aca="false">C1321-D1321</f>
        <v>18</v>
      </c>
    </row>
    <row r="1322" customFormat="false" ht="15" hidden="false" customHeight="false" outlineLevel="0" collapsed="false">
      <c r="A1322" s="4" t="n">
        <v>27</v>
      </c>
      <c r="B1322" s="4" t="n">
        <v>83</v>
      </c>
      <c r="C1322" s="4" t="n">
        <v>231</v>
      </c>
      <c r="D1322" s="4" t="n">
        <v>213</v>
      </c>
      <c r="E1322" s="6" t="n">
        <v>13.3116840572717</v>
      </c>
      <c r="F1322" s="6" t="n">
        <f aca="false">D1322+E1322</f>
        <v>226.311684057272</v>
      </c>
      <c r="G1322" s="6" t="n">
        <f aca="false">F1322-C1322</f>
        <v>-4.68831594272828</v>
      </c>
      <c r="H1322" s="4" t="str">
        <f aca="false">IF(G1322&gt;2,"LATE",IF(G1322&lt;-13,"EARLY","IN"))</f>
        <v>IN</v>
      </c>
      <c r="I1322" s="4" t="n">
        <f aca="false">C1322-D1322</f>
        <v>18</v>
      </c>
    </row>
    <row r="1323" customFormat="false" ht="15" hidden="false" customHeight="false" outlineLevel="0" collapsed="false">
      <c r="A1323" s="4" t="n">
        <v>27</v>
      </c>
      <c r="B1323" s="4" t="n">
        <v>95</v>
      </c>
      <c r="C1323" s="4" t="n">
        <v>234</v>
      </c>
      <c r="D1323" s="4" t="n">
        <v>216</v>
      </c>
      <c r="E1323" s="6" t="n">
        <v>11.6148659246018</v>
      </c>
      <c r="F1323" s="6" t="n">
        <f aca="false">D1323+E1323</f>
        <v>227.614865924602</v>
      </c>
      <c r="G1323" s="6" t="n">
        <f aca="false">F1323-C1323</f>
        <v>-6.38513407539824</v>
      </c>
      <c r="H1323" s="4" t="str">
        <f aca="false">IF(G1323&gt;2,"LATE",IF(G1323&lt;-13,"EARLY","IN"))</f>
        <v>IN</v>
      </c>
      <c r="I1323" s="4" t="n">
        <f aca="false">C1323-D1323</f>
        <v>18</v>
      </c>
    </row>
    <row r="1324" customFormat="false" ht="15" hidden="false" customHeight="false" outlineLevel="0" collapsed="false">
      <c r="A1324" s="4" t="n">
        <v>27</v>
      </c>
      <c r="B1324" s="4" t="n">
        <v>97</v>
      </c>
      <c r="C1324" s="4" t="n">
        <v>157</v>
      </c>
      <c r="D1324" s="4" t="n">
        <v>137</v>
      </c>
      <c r="E1324" s="6" t="n">
        <v>15.1823549109337</v>
      </c>
      <c r="F1324" s="6" t="n">
        <f aca="false">D1324+E1324</f>
        <v>152.182354910934</v>
      </c>
      <c r="G1324" s="6" t="n">
        <f aca="false">F1324-C1324</f>
        <v>-4.8176450890663</v>
      </c>
      <c r="H1324" s="4" t="str">
        <f aca="false">IF(G1324&gt;2,"LATE",IF(G1324&lt;-13,"EARLY","IN"))</f>
        <v>IN</v>
      </c>
      <c r="I1324" s="4" t="n">
        <f aca="false">C1324-D1324</f>
        <v>20</v>
      </c>
    </row>
    <row r="1325" customFormat="false" ht="15" hidden="false" customHeight="false" outlineLevel="0" collapsed="false">
      <c r="A1325" s="4" t="n">
        <v>27</v>
      </c>
      <c r="B1325" s="4" t="n">
        <v>99</v>
      </c>
      <c r="C1325" s="4" t="n">
        <v>263</v>
      </c>
      <c r="D1325" s="4" t="n">
        <v>245</v>
      </c>
      <c r="E1325" s="6" t="n">
        <v>15.0557700869023</v>
      </c>
      <c r="F1325" s="6" t="n">
        <f aca="false">D1325+E1325</f>
        <v>260.055770086902</v>
      </c>
      <c r="G1325" s="6" t="n">
        <f aca="false">F1325-C1325</f>
        <v>-2.94422991309773</v>
      </c>
      <c r="H1325" s="4" t="str">
        <f aca="false">IF(G1325&gt;2,"LATE",IF(G1325&lt;-13,"EARLY","IN"))</f>
        <v>IN</v>
      </c>
      <c r="I1325" s="4" t="n">
        <f aca="false">C1325-D1325</f>
        <v>18</v>
      </c>
    </row>
    <row r="1326" customFormat="false" ht="15" hidden="false" customHeight="false" outlineLevel="0" collapsed="false">
      <c r="A1326" s="4" t="n">
        <v>27</v>
      </c>
      <c r="B1326" s="4" t="n">
        <v>100</v>
      </c>
      <c r="C1326" s="4" t="n">
        <v>213</v>
      </c>
      <c r="D1326" s="4" t="n">
        <v>194</v>
      </c>
      <c r="E1326" s="6" t="n">
        <v>15.1670311657969</v>
      </c>
      <c r="F1326" s="6" t="n">
        <f aca="false">D1326+E1326</f>
        <v>209.167031165797</v>
      </c>
      <c r="G1326" s="6" t="n">
        <f aca="false">F1326-C1326</f>
        <v>-3.83296883420314</v>
      </c>
      <c r="H1326" s="4" t="str">
        <f aca="false">IF(G1326&gt;2,"LATE",IF(G1326&lt;-13,"EARLY","IN"))</f>
        <v>IN</v>
      </c>
      <c r="I1326" s="4" t="n">
        <f aca="false">C1326-D1326</f>
        <v>19</v>
      </c>
    </row>
    <row r="1327" customFormat="false" ht="15" hidden="false" customHeight="false" outlineLevel="0" collapsed="false">
      <c r="A1327" s="4" t="n">
        <v>27</v>
      </c>
      <c r="B1327" s="4" t="n">
        <v>101</v>
      </c>
      <c r="C1327" s="4" t="n">
        <v>226</v>
      </c>
      <c r="D1327" s="4" t="n">
        <v>206</v>
      </c>
      <c r="E1327" s="6" t="n">
        <v>15.5729926033969</v>
      </c>
      <c r="F1327" s="6" t="n">
        <f aca="false">D1327+E1327</f>
        <v>221.572992603397</v>
      </c>
      <c r="G1327" s="6" t="n">
        <f aca="false">F1327-C1327</f>
        <v>-4.4270073966031</v>
      </c>
      <c r="H1327" s="4" t="str">
        <f aca="false">IF(G1327&gt;2,"LATE",IF(G1327&lt;-13,"EARLY","IN"))</f>
        <v>IN</v>
      </c>
      <c r="I1327" s="4" t="n">
        <f aca="false">C1327-D1327</f>
        <v>20</v>
      </c>
    </row>
    <row r="1328" customFormat="false" ht="15" hidden="false" customHeight="false" outlineLevel="0" collapsed="false">
      <c r="A1328" s="4" t="n">
        <v>27</v>
      </c>
      <c r="B1328" s="4" t="n">
        <v>105</v>
      </c>
      <c r="C1328" s="4" t="n">
        <v>149</v>
      </c>
      <c r="D1328" s="4" t="n">
        <v>137</v>
      </c>
      <c r="E1328" s="6" t="n">
        <v>15.0895311230177</v>
      </c>
      <c r="F1328" s="6" t="n">
        <f aca="false">D1328+E1328</f>
        <v>152.089531123018</v>
      </c>
      <c r="G1328" s="6" t="n">
        <f aca="false">F1328-C1328</f>
        <v>3.08953112301768</v>
      </c>
      <c r="H1328" s="4" t="str">
        <f aca="false">IF(G1328&gt;2,"LATE",IF(G1328&lt;-13,"EARLY","IN"))</f>
        <v>LATE</v>
      </c>
      <c r="I1328" s="4" t="n">
        <f aca="false">C1328-D1328</f>
        <v>12</v>
      </c>
    </row>
    <row r="1329" customFormat="false" ht="15" hidden="false" customHeight="false" outlineLevel="0" collapsed="false">
      <c r="A1329" s="4" t="n">
        <v>27</v>
      </c>
      <c r="B1329" s="4" t="n">
        <v>108</v>
      </c>
      <c r="C1329" s="4" t="n">
        <v>230</v>
      </c>
      <c r="D1329" s="4" t="n">
        <v>209</v>
      </c>
      <c r="E1329" s="6" t="n">
        <v>14.5182444356212</v>
      </c>
      <c r="F1329" s="6" t="n">
        <f aca="false">D1329+E1329</f>
        <v>223.518244435621</v>
      </c>
      <c r="G1329" s="6" t="n">
        <f aca="false">F1329-C1329</f>
        <v>-6.48175556437883</v>
      </c>
      <c r="H1329" s="4" t="str">
        <f aca="false">IF(G1329&gt;2,"LATE",IF(G1329&lt;-13,"EARLY","IN"))</f>
        <v>IN</v>
      </c>
      <c r="I1329" s="4" t="n">
        <f aca="false">C1329-D1329</f>
        <v>21</v>
      </c>
    </row>
    <row r="1330" customFormat="false" ht="15" hidden="false" customHeight="false" outlineLevel="0" collapsed="false">
      <c r="A1330" s="4" t="n">
        <v>27</v>
      </c>
      <c r="B1330" s="4" t="n">
        <v>109</v>
      </c>
      <c r="C1330" s="4" t="n">
        <v>160</v>
      </c>
      <c r="D1330" s="4" t="n">
        <v>147</v>
      </c>
      <c r="E1330" s="6" t="n">
        <v>12.7686875292869</v>
      </c>
      <c r="F1330" s="6" t="n">
        <f aca="false">D1330+E1330</f>
        <v>159.768687529287</v>
      </c>
      <c r="G1330" s="6" t="n">
        <f aca="false">F1330-C1330</f>
        <v>-0.231312470713135</v>
      </c>
      <c r="H1330" s="4" t="str">
        <f aca="false">IF(G1330&gt;2,"LATE",IF(G1330&lt;-13,"EARLY","IN"))</f>
        <v>IN</v>
      </c>
      <c r="I1330" s="4" t="n">
        <f aca="false">C1330-D1330</f>
        <v>13</v>
      </c>
    </row>
    <row r="1331" customFormat="false" ht="15" hidden="false" customHeight="false" outlineLevel="0" collapsed="false">
      <c r="A1331" s="4" t="n">
        <v>27</v>
      </c>
      <c r="B1331" s="4" t="n">
        <v>128</v>
      </c>
      <c r="C1331" s="4" t="n">
        <v>159</v>
      </c>
      <c r="D1331" s="4" t="n">
        <v>148</v>
      </c>
      <c r="E1331" s="6" t="n">
        <v>11.5809317572288</v>
      </c>
      <c r="F1331" s="6" t="n">
        <f aca="false">D1331+E1331</f>
        <v>159.580931757229</v>
      </c>
      <c r="G1331" s="6" t="n">
        <f aca="false">F1331-C1331</f>
        <v>0.580931757228797</v>
      </c>
      <c r="H1331" s="4" t="str">
        <f aca="false">IF(G1331&gt;2,"LATE",IF(G1331&lt;-13,"EARLY","IN"))</f>
        <v>IN</v>
      </c>
      <c r="I1331" s="4" t="n">
        <f aca="false">C1331-D1331</f>
        <v>11</v>
      </c>
    </row>
    <row r="1332" customFormat="false" ht="15" hidden="false" customHeight="false" outlineLevel="0" collapsed="false">
      <c r="A1332" s="4" t="n">
        <v>27</v>
      </c>
      <c r="B1332" s="4" t="n">
        <v>130</v>
      </c>
      <c r="C1332" s="4" t="n">
        <v>143</v>
      </c>
      <c r="D1332" s="4" t="n">
        <v>129</v>
      </c>
      <c r="E1332" s="6" t="n">
        <v>14.5187303931235</v>
      </c>
      <c r="F1332" s="6" t="n">
        <f aca="false">D1332+E1332</f>
        <v>143.518730393123</v>
      </c>
      <c r="G1332" s="6" t="n">
        <f aca="false">F1332-C1332</f>
        <v>0.518730393123462</v>
      </c>
      <c r="H1332" s="4" t="str">
        <f aca="false">IF(G1332&gt;2,"LATE",IF(G1332&lt;-13,"EARLY","IN"))</f>
        <v>IN</v>
      </c>
      <c r="I1332" s="4" t="n">
        <f aca="false">C1332-D1332</f>
        <v>14</v>
      </c>
    </row>
    <row r="1333" customFormat="false" ht="15" hidden="false" customHeight="false" outlineLevel="0" collapsed="false">
      <c r="A1333" s="4" t="n">
        <v>27</v>
      </c>
      <c r="B1333" s="4" t="n">
        <v>133</v>
      </c>
      <c r="C1333" s="4" t="n">
        <v>151</v>
      </c>
      <c r="D1333" s="4" t="n">
        <v>132</v>
      </c>
      <c r="E1333" s="6" t="n">
        <v>15.6635155307449</v>
      </c>
      <c r="F1333" s="6" t="n">
        <f aca="false">D1333+E1333</f>
        <v>147.663515530745</v>
      </c>
      <c r="G1333" s="6" t="n">
        <f aca="false">F1333-C1333</f>
        <v>-3.33648446925511</v>
      </c>
      <c r="H1333" s="4" t="str">
        <f aca="false">IF(G1333&gt;2,"LATE",IF(G1333&lt;-13,"EARLY","IN"))</f>
        <v>IN</v>
      </c>
      <c r="I1333" s="4" t="n">
        <f aca="false">C1333-D1333</f>
        <v>19</v>
      </c>
    </row>
    <row r="1334" customFormat="false" ht="15" hidden="false" customHeight="false" outlineLevel="0" collapsed="false">
      <c r="A1334" s="4" t="n">
        <v>27</v>
      </c>
      <c r="B1334" s="4" t="n">
        <v>150</v>
      </c>
      <c r="C1334" s="4" t="n">
        <v>175</v>
      </c>
      <c r="D1334" s="4" t="n">
        <v>156</v>
      </c>
      <c r="E1334" s="6" t="n">
        <v>13.7333264951235</v>
      </c>
      <c r="F1334" s="6" t="n">
        <f aca="false">D1334+E1334</f>
        <v>169.733326495124</v>
      </c>
      <c r="G1334" s="6" t="n">
        <f aca="false">F1334-C1334</f>
        <v>-5.26667350487651</v>
      </c>
      <c r="H1334" s="4" t="str">
        <f aca="false">IF(G1334&gt;2,"LATE",IF(G1334&lt;-13,"EARLY","IN"))</f>
        <v>IN</v>
      </c>
      <c r="I1334" s="4" t="n">
        <f aca="false">C1334-D1334</f>
        <v>19</v>
      </c>
    </row>
    <row r="1335" customFormat="false" ht="15" hidden="false" customHeight="false" outlineLevel="0" collapsed="false">
      <c r="A1335" s="4" t="n">
        <v>27</v>
      </c>
      <c r="B1335" s="4" t="n">
        <v>151</v>
      </c>
      <c r="C1335" s="4" t="n">
        <v>317</v>
      </c>
      <c r="D1335" s="4" t="n">
        <v>294</v>
      </c>
      <c r="E1335" s="6" t="n">
        <v>13.6402447150343</v>
      </c>
      <c r="F1335" s="6" t="n">
        <f aca="false">D1335+E1335</f>
        <v>307.640244715034</v>
      </c>
      <c r="G1335" s="6" t="n">
        <f aca="false">F1335-C1335</f>
        <v>-9.35975528496567</v>
      </c>
      <c r="H1335" s="4" t="str">
        <f aca="false">IF(G1335&gt;2,"LATE",IF(G1335&lt;-13,"EARLY","IN"))</f>
        <v>IN</v>
      </c>
      <c r="I1335" s="4" t="n">
        <f aca="false">C1335-D1335</f>
        <v>23</v>
      </c>
    </row>
    <row r="1336" customFormat="false" ht="15" hidden="false" customHeight="false" outlineLevel="0" collapsed="false">
      <c r="A1336" s="4" t="n">
        <v>27</v>
      </c>
      <c r="B1336" s="4" t="n">
        <v>157</v>
      </c>
      <c r="C1336" s="4" t="n">
        <v>202</v>
      </c>
      <c r="D1336" s="4" t="n">
        <v>181</v>
      </c>
      <c r="E1336" s="6" t="n">
        <v>15.8919560081454</v>
      </c>
      <c r="F1336" s="6" t="n">
        <f aca="false">D1336+E1336</f>
        <v>196.891956008145</v>
      </c>
      <c r="G1336" s="6" t="n">
        <f aca="false">F1336-C1336</f>
        <v>-5.10804399185463</v>
      </c>
      <c r="H1336" s="4" t="str">
        <f aca="false">IF(G1336&gt;2,"LATE",IF(G1336&lt;-13,"EARLY","IN"))</f>
        <v>IN</v>
      </c>
      <c r="I1336" s="4" t="n">
        <f aca="false">C1336-D1336</f>
        <v>21</v>
      </c>
    </row>
    <row r="1337" customFormat="false" ht="15" hidden="false" customHeight="false" outlineLevel="0" collapsed="false">
      <c r="A1337" s="4" t="n">
        <v>27</v>
      </c>
      <c r="B1337" s="4" t="n">
        <v>160</v>
      </c>
      <c r="C1337" s="4" t="n">
        <v>147</v>
      </c>
      <c r="D1337" s="4" t="n">
        <v>133</v>
      </c>
      <c r="E1337" s="6" t="n">
        <v>12.1150396129024</v>
      </c>
      <c r="F1337" s="6" t="n">
        <f aca="false">D1337+E1337</f>
        <v>145.115039612902</v>
      </c>
      <c r="G1337" s="6" t="n">
        <f aca="false">F1337-C1337</f>
        <v>-1.88496038709764</v>
      </c>
      <c r="H1337" s="4" t="str">
        <f aca="false">IF(G1337&gt;2,"LATE",IF(G1337&lt;-13,"EARLY","IN"))</f>
        <v>IN</v>
      </c>
      <c r="I1337" s="4" t="n">
        <f aca="false">C1337-D1337</f>
        <v>14</v>
      </c>
    </row>
    <row r="1338" customFormat="false" ht="15" hidden="false" customHeight="false" outlineLevel="0" collapsed="false">
      <c r="A1338" s="4" t="n">
        <v>27</v>
      </c>
      <c r="B1338" s="4" t="n">
        <v>162</v>
      </c>
      <c r="C1338" s="4" t="n">
        <v>202</v>
      </c>
      <c r="D1338" s="4" t="n">
        <v>186</v>
      </c>
      <c r="E1338" s="6" t="n">
        <v>15.6208245794659</v>
      </c>
      <c r="F1338" s="6" t="n">
        <f aca="false">D1338+E1338</f>
        <v>201.620824579466</v>
      </c>
      <c r="G1338" s="6" t="n">
        <f aca="false">F1338-C1338</f>
        <v>-0.379175420534125</v>
      </c>
      <c r="H1338" s="4" t="str">
        <f aca="false">IF(G1338&gt;2,"LATE",IF(G1338&lt;-13,"EARLY","IN"))</f>
        <v>IN</v>
      </c>
      <c r="I1338" s="4" t="n">
        <f aca="false">C1338-D1338</f>
        <v>16</v>
      </c>
    </row>
    <row r="1339" customFormat="false" ht="15" hidden="false" customHeight="false" outlineLevel="0" collapsed="false">
      <c r="A1339" s="4" t="n">
        <v>27</v>
      </c>
      <c r="B1339" s="4" t="n">
        <v>163</v>
      </c>
      <c r="C1339" s="4" t="n">
        <v>177</v>
      </c>
      <c r="D1339" s="4" t="n">
        <v>162</v>
      </c>
      <c r="E1339" s="6" t="n">
        <v>13.9510411156284</v>
      </c>
      <c r="F1339" s="6" t="n">
        <f aca="false">D1339+E1339</f>
        <v>175.951041115628</v>
      </c>
      <c r="G1339" s="6" t="n">
        <f aca="false">F1339-C1339</f>
        <v>-1.04895888437159</v>
      </c>
      <c r="H1339" s="4" t="str">
        <f aca="false">IF(G1339&gt;2,"LATE",IF(G1339&lt;-13,"EARLY","IN"))</f>
        <v>IN</v>
      </c>
      <c r="I1339" s="4" t="n">
        <f aca="false">C1339-D1339</f>
        <v>15</v>
      </c>
    </row>
    <row r="1340" customFormat="false" ht="15" hidden="false" customHeight="false" outlineLevel="0" collapsed="false">
      <c r="A1340" s="4" t="n">
        <v>27</v>
      </c>
      <c r="B1340" s="4" t="n">
        <v>174</v>
      </c>
      <c r="C1340" s="4" t="n">
        <v>178</v>
      </c>
      <c r="D1340" s="4" t="n">
        <v>165</v>
      </c>
      <c r="E1340" s="6" t="n">
        <v>12.6606613441572</v>
      </c>
      <c r="F1340" s="6" t="n">
        <f aca="false">D1340+E1340</f>
        <v>177.660661344157</v>
      </c>
      <c r="G1340" s="6" t="n">
        <f aca="false">F1340-C1340</f>
        <v>-0.339338655842823</v>
      </c>
      <c r="H1340" s="4" t="str">
        <f aca="false">IF(G1340&gt;2,"LATE",IF(G1340&lt;-13,"EARLY","IN"))</f>
        <v>IN</v>
      </c>
      <c r="I1340" s="4" t="n">
        <f aca="false">C1340-D1340</f>
        <v>13</v>
      </c>
    </row>
    <row r="1341" customFormat="false" ht="15" hidden="false" customHeight="false" outlineLevel="0" collapsed="false">
      <c r="A1341" s="4" t="n">
        <v>27</v>
      </c>
      <c r="B1341" s="4" t="n">
        <v>179</v>
      </c>
      <c r="C1341" s="4" t="n">
        <v>223</v>
      </c>
      <c r="D1341" s="4" t="n">
        <v>208</v>
      </c>
      <c r="E1341" s="6" t="n">
        <v>14.2612978482152</v>
      </c>
      <c r="F1341" s="6" t="n">
        <f aca="false">D1341+E1341</f>
        <v>222.261297848215</v>
      </c>
      <c r="G1341" s="6" t="n">
        <f aca="false">F1341-C1341</f>
        <v>-0.73870215178485</v>
      </c>
      <c r="H1341" s="4" t="str">
        <f aca="false">IF(G1341&gt;2,"LATE",IF(G1341&lt;-13,"EARLY","IN"))</f>
        <v>IN</v>
      </c>
      <c r="I1341" s="4" t="n">
        <f aca="false">C1341-D1341</f>
        <v>15</v>
      </c>
    </row>
    <row r="1342" customFormat="false" ht="15" hidden="false" customHeight="false" outlineLevel="0" collapsed="false">
      <c r="A1342" s="4" t="n">
        <v>27</v>
      </c>
      <c r="B1342" s="4" t="n">
        <v>181</v>
      </c>
      <c r="C1342" s="4" t="n">
        <v>161</v>
      </c>
      <c r="D1342" s="4" t="n">
        <v>142</v>
      </c>
      <c r="E1342" s="6" t="n">
        <v>13.2993683557012</v>
      </c>
      <c r="F1342" s="6" t="n">
        <f aca="false">D1342+E1342</f>
        <v>155.299368355701</v>
      </c>
      <c r="G1342" s="6" t="n">
        <f aca="false">F1342-C1342</f>
        <v>-5.70063164429877</v>
      </c>
      <c r="H1342" s="4" t="str">
        <f aca="false">IF(G1342&gt;2,"LATE",IF(G1342&lt;-13,"EARLY","IN"))</f>
        <v>IN</v>
      </c>
      <c r="I1342" s="4" t="n">
        <f aca="false">C1342-D1342</f>
        <v>19</v>
      </c>
    </row>
    <row r="1343" customFormat="false" ht="15" hidden="false" customHeight="false" outlineLevel="0" collapsed="false">
      <c r="A1343" s="4" t="n">
        <v>27</v>
      </c>
      <c r="B1343" s="4" t="n">
        <v>182</v>
      </c>
      <c r="C1343" s="4" t="n">
        <v>220</v>
      </c>
      <c r="D1343" s="4" t="n">
        <v>196</v>
      </c>
      <c r="E1343" s="6" t="n">
        <v>13.777311567388</v>
      </c>
      <c r="F1343" s="6" t="n">
        <f aca="false">D1343+E1343</f>
        <v>209.777311567388</v>
      </c>
      <c r="G1343" s="6" t="n">
        <f aca="false">F1343-C1343</f>
        <v>-10.222688432612</v>
      </c>
      <c r="H1343" s="4" t="str">
        <f aca="false">IF(G1343&gt;2,"LATE",IF(G1343&lt;-13,"EARLY","IN"))</f>
        <v>IN</v>
      </c>
      <c r="I1343" s="4" t="n">
        <f aca="false">C1343-D1343</f>
        <v>24</v>
      </c>
    </row>
    <row r="1344" customFormat="false" ht="15" hidden="false" customHeight="false" outlineLevel="0" collapsed="false">
      <c r="A1344" s="4" t="n">
        <v>27</v>
      </c>
      <c r="B1344" s="4" t="n">
        <v>188</v>
      </c>
      <c r="C1344" s="4" t="n">
        <v>246</v>
      </c>
      <c r="D1344" s="4" t="n">
        <v>221</v>
      </c>
      <c r="E1344" s="6" t="n">
        <v>15.8142400959273</v>
      </c>
      <c r="F1344" s="6" t="n">
        <f aca="false">D1344+E1344</f>
        <v>236.814240095927</v>
      </c>
      <c r="G1344" s="6" t="n">
        <f aca="false">F1344-C1344</f>
        <v>-9.18575990407271</v>
      </c>
      <c r="H1344" s="4" t="str">
        <f aca="false">IF(G1344&gt;2,"LATE",IF(G1344&lt;-13,"EARLY","IN"))</f>
        <v>IN</v>
      </c>
      <c r="I1344" s="4" t="n">
        <f aca="false">C1344-D1344</f>
        <v>25</v>
      </c>
    </row>
    <row r="1345" customFormat="false" ht="15" hidden="false" customHeight="false" outlineLevel="0" collapsed="false">
      <c r="A1345" s="4" t="n">
        <v>27</v>
      </c>
      <c r="B1345" s="4" t="n">
        <v>190</v>
      </c>
      <c r="C1345" s="4" t="n">
        <v>152</v>
      </c>
      <c r="D1345" s="4" t="n">
        <v>135</v>
      </c>
      <c r="E1345" s="6" t="n">
        <v>15.1866969104246</v>
      </c>
      <c r="F1345" s="6" t="n">
        <f aca="false">D1345+E1345</f>
        <v>150.186696910425</v>
      </c>
      <c r="G1345" s="6" t="n">
        <f aca="false">F1345-C1345</f>
        <v>-1.81330308957538</v>
      </c>
      <c r="H1345" s="4" t="str">
        <f aca="false">IF(G1345&gt;2,"LATE",IF(G1345&lt;-13,"EARLY","IN"))</f>
        <v>IN</v>
      </c>
      <c r="I1345" s="4" t="n">
        <f aca="false">C1345-D1345</f>
        <v>17</v>
      </c>
    </row>
    <row r="1346" customFormat="false" ht="15" hidden="false" customHeight="false" outlineLevel="0" collapsed="false">
      <c r="A1346" s="4" t="n">
        <v>27</v>
      </c>
      <c r="B1346" s="4" t="n">
        <v>192</v>
      </c>
      <c r="C1346" s="4" t="n">
        <v>176</v>
      </c>
      <c r="D1346" s="4" t="n">
        <v>156</v>
      </c>
      <c r="E1346" s="6" t="n">
        <v>16.6218959616151</v>
      </c>
      <c r="F1346" s="6" t="n">
        <f aca="false">D1346+E1346</f>
        <v>172.621895961615</v>
      </c>
      <c r="G1346" s="6" t="n">
        <f aca="false">F1346-C1346</f>
        <v>-3.37810403838492</v>
      </c>
      <c r="H1346" s="4" t="str">
        <f aca="false">IF(G1346&gt;2,"LATE",IF(G1346&lt;-13,"EARLY","IN"))</f>
        <v>IN</v>
      </c>
      <c r="I1346" s="4" t="n">
        <f aca="false">C1346-D1346</f>
        <v>20</v>
      </c>
    </row>
    <row r="1347" customFormat="false" ht="15" hidden="false" customHeight="false" outlineLevel="0" collapsed="false">
      <c r="A1347" s="4" t="n">
        <v>27</v>
      </c>
      <c r="B1347" s="4" t="n">
        <v>194</v>
      </c>
      <c r="C1347" s="4" t="n">
        <v>246</v>
      </c>
      <c r="D1347" s="4" t="n">
        <v>219</v>
      </c>
      <c r="E1347" s="6" t="n">
        <v>15.9004157043001</v>
      </c>
      <c r="F1347" s="6" t="n">
        <f aca="false">D1347+E1347</f>
        <v>234.9004157043</v>
      </c>
      <c r="G1347" s="6" t="n">
        <f aca="false">F1347-C1347</f>
        <v>-11.0995842956999</v>
      </c>
      <c r="H1347" s="4" t="str">
        <f aca="false">IF(G1347&gt;2,"LATE",IF(G1347&lt;-13,"EARLY","IN"))</f>
        <v>IN</v>
      </c>
      <c r="I1347" s="4" t="n">
        <f aca="false">C1347-D1347</f>
        <v>27</v>
      </c>
    </row>
    <row r="1348" customFormat="false" ht="15" hidden="false" customHeight="false" outlineLevel="0" collapsed="false">
      <c r="A1348" s="4" t="n">
        <v>27</v>
      </c>
      <c r="B1348" s="4" t="n">
        <v>199</v>
      </c>
      <c r="C1348" s="4" t="n">
        <v>192</v>
      </c>
      <c r="D1348" s="4" t="n">
        <v>177</v>
      </c>
      <c r="E1348" s="6" t="n">
        <v>11.6148347013357</v>
      </c>
      <c r="F1348" s="6" t="n">
        <f aca="false">D1348+E1348</f>
        <v>188.614834701336</v>
      </c>
      <c r="G1348" s="6" t="n">
        <f aca="false">F1348-C1348</f>
        <v>-3.38516529866436</v>
      </c>
      <c r="H1348" s="4" t="str">
        <f aca="false">IF(G1348&gt;2,"LATE",IF(G1348&lt;-13,"EARLY","IN"))</f>
        <v>IN</v>
      </c>
      <c r="I1348" s="4" t="n">
        <f aca="false">C1348-D1348</f>
        <v>15</v>
      </c>
    </row>
    <row r="1349" customFormat="false" ht="15" hidden="false" customHeight="false" outlineLevel="0" collapsed="false">
      <c r="A1349" s="4" t="n">
        <v>27</v>
      </c>
      <c r="B1349" s="4" t="n">
        <v>205</v>
      </c>
      <c r="C1349" s="4" t="n">
        <v>135</v>
      </c>
      <c r="D1349" s="4" t="n">
        <v>121</v>
      </c>
      <c r="E1349" s="6" t="n">
        <v>10.9436106481348</v>
      </c>
      <c r="F1349" s="6" t="n">
        <f aca="false">D1349+E1349</f>
        <v>131.943610648135</v>
      </c>
      <c r="G1349" s="6" t="n">
        <f aca="false">F1349-C1349</f>
        <v>-3.05638935186522</v>
      </c>
      <c r="H1349" s="4" t="str">
        <f aca="false">IF(G1349&gt;2,"LATE",IF(G1349&lt;-13,"EARLY","IN"))</f>
        <v>IN</v>
      </c>
      <c r="I1349" s="4" t="n">
        <f aca="false">C1349-D1349</f>
        <v>14</v>
      </c>
    </row>
    <row r="1350" customFormat="false" ht="15" hidden="false" customHeight="false" outlineLevel="0" collapsed="false">
      <c r="A1350" s="4" t="n">
        <v>27</v>
      </c>
      <c r="B1350" s="4" t="n">
        <v>209</v>
      </c>
      <c r="C1350" s="4" t="n">
        <v>252</v>
      </c>
      <c r="D1350" s="4" t="n">
        <v>231</v>
      </c>
      <c r="E1350" s="6" t="n">
        <v>13.3057727471226</v>
      </c>
      <c r="F1350" s="6" t="n">
        <f aca="false">D1350+E1350</f>
        <v>244.305772747123</v>
      </c>
      <c r="G1350" s="6" t="n">
        <f aca="false">F1350-C1350</f>
        <v>-7.69422725287737</v>
      </c>
      <c r="H1350" s="4" t="str">
        <f aca="false">IF(G1350&gt;2,"LATE",IF(G1350&lt;-13,"EARLY","IN"))</f>
        <v>IN</v>
      </c>
      <c r="I1350" s="4" t="n">
        <f aca="false">C1350-D1350</f>
        <v>21</v>
      </c>
    </row>
    <row r="1351" customFormat="false" ht="15" hidden="false" customHeight="false" outlineLevel="0" collapsed="false">
      <c r="A1351" s="4" t="n">
        <v>27</v>
      </c>
      <c r="B1351" s="4" t="n">
        <v>212</v>
      </c>
      <c r="C1351" s="4" t="n">
        <v>277</v>
      </c>
      <c r="D1351" s="4" t="n">
        <v>248</v>
      </c>
      <c r="E1351" s="6" t="n">
        <v>15.8520271435194</v>
      </c>
      <c r="F1351" s="6" t="n">
        <f aca="false">D1351+E1351</f>
        <v>263.852027143519</v>
      </c>
      <c r="G1351" s="6" t="n">
        <f aca="false">F1351-C1351</f>
        <v>-13.1479728564806</v>
      </c>
      <c r="H1351" s="4" t="str">
        <f aca="false">IF(G1351&gt;2,"LATE",IF(G1351&lt;-13,"EARLY","IN"))</f>
        <v>EARLY</v>
      </c>
      <c r="I1351" s="4" t="n">
        <f aca="false">C1351-D1351</f>
        <v>29</v>
      </c>
    </row>
    <row r="1352" customFormat="false" ht="15" hidden="false" customHeight="false" outlineLevel="0" collapsed="false">
      <c r="A1352" s="4" t="n">
        <v>28</v>
      </c>
      <c r="B1352" s="4" t="n">
        <v>14</v>
      </c>
      <c r="C1352" s="4" t="n">
        <v>147</v>
      </c>
      <c r="D1352" s="4" t="n">
        <v>132</v>
      </c>
      <c r="E1352" s="6" t="n">
        <v>12.8482514000616</v>
      </c>
      <c r="F1352" s="6" t="n">
        <f aca="false">D1352+E1352</f>
        <v>144.848251400062</v>
      </c>
      <c r="G1352" s="6" t="n">
        <f aca="false">F1352-C1352</f>
        <v>-2.15174859993843</v>
      </c>
      <c r="H1352" s="4" t="str">
        <f aca="false">IF(G1352&gt;2,"LATE",IF(G1352&lt;-13,"EARLY","IN"))</f>
        <v>IN</v>
      </c>
      <c r="I1352" s="4" t="n">
        <f aca="false">C1352-D1352</f>
        <v>15</v>
      </c>
    </row>
    <row r="1353" customFormat="false" ht="15" hidden="false" customHeight="false" outlineLevel="0" collapsed="false">
      <c r="A1353" s="4" t="n">
        <v>28</v>
      </c>
      <c r="B1353" s="4" t="n">
        <v>20</v>
      </c>
      <c r="C1353" s="4" t="n">
        <v>154</v>
      </c>
      <c r="D1353" s="4" t="n">
        <v>139</v>
      </c>
      <c r="E1353" s="6" t="n">
        <v>14.3764570232309</v>
      </c>
      <c r="F1353" s="6" t="n">
        <f aca="false">D1353+E1353</f>
        <v>153.376457023231</v>
      </c>
      <c r="G1353" s="6" t="n">
        <f aca="false">F1353-C1353</f>
        <v>-0.62354297676913</v>
      </c>
      <c r="H1353" s="4" t="str">
        <f aca="false">IF(G1353&gt;2,"LATE",IF(G1353&lt;-13,"EARLY","IN"))</f>
        <v>IN</v>
      </c>
      <c r="I1353" s="4" t="n">
        <f aca="false">C1353-D1353</f>
        <v>15</v>
      </c>
    </row>
    <row r="1354" customFormat="false" ht="15" hidden="false" customHeight="false" outlineLevel="0" collapsed="false">
      <c r="A1354" s="4" t="n">
        <v>28</v>
      </c>
      <c r="B1354" s="4" t="n">
        <v>26</v>
      </c>
      <c r="C1354" s="4" t="n">
        <v>210</v>
      </c>
      <c r="D1354" s="4" t="n">
        <v>193</v>
      </c>
      <c r="E1354" s="6" t="n">
        <v>10.8221675782002</v>
      </c>
      <c r="F1354" s="6" t="n">
        <f aca="false">D1354+E1354</f>
        <v>203.8221675782</v>
      </c>
      <c r="G1354" s="6" t="n">
        <f aca="false">F1354-C1354</f>
        <v>-6.17783242179985</v>
      </c>
      <c r="H1354" s="4" t="str">
        <f aca="false">IF(G1354&gt;2,"LATE",IF(G1354&lt;-13,"EARLY","IN"))</f>
        <v>IN</v>
      </c>
      <c r="I1354" s="4" t="n">
        <f aca="false">C1354-D1354</f>
        <v>17</v>
      </c>
    </row>
    <row r="1355" customFormat="false" ht="15" hidden="false" customHeight="false" outlineLevel="0" collapsed="false">
      <c r="A1355" s="4" t="n">
        <v>28</v>
      </c>
      <c r="B1355" s="4" t="n">
        <v>29</v>
      </c>
      <c r="C1355" s="4" t="n">
        <v>228</v>
      </c>
      <c r="D1355" s="4" t="n">
        <v>211</v>
      </c>
      <c r="E1355" s="6" t="n">
        <v>13.5434407424081</v>
      </c>
      <c r="F1355" s="6" t="n">
        <f aca="false">D1355+E1355</f>
        <v>224.543440742408</v>
      </c>
      <c r="G1355" s="6" t="n">
        <f aca="false">F1355-C1355</f>
        <v>-3.45655925759189</v>
      </c>
      <c r="H1355" s="4" t="str">
        <f aca="false">IF(G1355&gt;2,"LATE",IF(G1355&lt;-13,"EARLY","IN"))</f>
        <v>IN</v>
      </c>
      <c r="I1355" s="4" t="n">
        <f aca="false">C1355-D1355</f>
        <v>17</v>
      </c>
    </row>
    <row r="1356" customFormat="false" ht="15" hidden="false" customHeight="false" outlineLevel="0" collapsed="false">
      <c r="A1356" s="4" t="n">
        <v>28</v>
      </c>
      <c r="B1356" s="4" t="n">
        <v>32</v>
      </c>
      <c r="C1356" s="4" t="n">
        <v>193</v>
      </c>
      <c r="D1356" s="4" t="n">
        <v>181</v>
      </c>
      <c r="E1356" s="6" t="n">
        <v>16.2289614280529</v>
      </c>
      <c r="F1356" s="6" t="n">
        <f aca="false">D1356+E1356</f>
        <v>197.228961428053</v>
      </c>
      <c r="G1356" s="6" t="n">
        <f aca="false">F1356-C1356</f>
        <v>4.22896142805286</v>
      </c>
      <c r="H1356" s="4" t="str">
        <f aca="false">IF(G1356&gt;2,"LATE",IF(G1356&lt;-13,"EARLY","IN"))</f>
        <v>LATE</v>
      </c>
      <c r="I1356" s="4" t="n">
        <f aca="false">C1356-D1356</f>
        <v>12</v>
      </c>
    </row>
    <row r="1357" customFormat="false" ht="15" hidden="false" customHeight="false" outlineLevel="0" collapsed="false">
      <c r="A1357" s="4" t="n">
        <v>28</v>
      </c>
      <c r="B1357" s="4" t="n">
        <v>34</v>
      </c>
      <c r="C1357" s="4" t="n">
        <v>286</v>
      </c>
      <c r="D1357" s="4" t="n">
        <v>265</v>
      </c>
      <c r="E1357" s="6" t="n">
        <v>15.0489306026576</v>
      </c>
      <c r="F1357" s="6" t="n">
        <f aca="false">D1357+E1357</f>
        <v>280.048930602658</v>
      </c>
      <c r="G1357" s="6" t="n">
        <f aca="false">F1357-C1357</f>
        <v>-5.95106939734239</v>
      </c>
      <c r="H1357" s="4" t="str">
        <f aca="false">IF(G1357&gt;2,"LATE",IF(G1357&lt;-13,"EARLY","IN"))</f>
        <v>IN</v>
      </c>
      <c r="I1357" s="4" t="n">
        <f aca="false">C1357-D1357</f>
        <v>21</v>
      </c>
    </row>
    <row r="1358" customFormat="false" ht="15" hidden="false" customHeight="false" outlineLevel="0" collapsed="false">
      <c r="A1358" s="4" t="n">
        <v>28</v>
      </c>
      <c r="B1358" s="4" t="n">
        <v>38</v>
      </c>
      <c r="C1358" s="4" t="n">
        <v>287</v>
      </c>
      <c r="D1358" s="4" t="n">
        <v>269</v>
      </c>
      <c r="E1358" s="6" t="n">
        <v>11.2180700966462</v>
      </c>
      <c r="F1358" s="6" t="n">
        <f aca="false">D1358+E1358</f>
        <v>280.218070096646</v>
      </c>
      <c r="G1358" s="6" t="n">
        <f aca="false">F1358-C1358</f>
        <v>-6.78192990335378</v>
      </c>
      <c r="H1358" s="4" t="str">
        <f aca="false">IF(G1358&gt;2,"LATE",IF(G1358&lt;-13,"EARLY","IN"))</f>
        <v>IN</v>
      </c>
      <c r="I1358" s="4" t="n">
        <f aca="false">C1358-D1358</f>
        <v>18</v>
      </c>
    </row>
    <row r="1359" customFormat="false" ht="15" hidden="false" customHeight="false" outlineLevel="0" collapsed="false">
      <c r="A1359" s="4" t="n">
        <v>28</v>
      </c>
      <c r="B1359" s="4" t="n">
        <v>45</v>
      </c>
      <c r="C1359" s="4" t="n">
        <v>242</v>
      </c>
      <c r="D1359" s="4" t="n">
        <v>222</v>
      </c>
      <c r="E1359" s="6" t="n">
        <v>15.8371205414783</v>
      </c>
      <c r="F1359" s="6" t="n">
        <f aca="false">D1359+E1359</f>
        <v>237.837120541478</v>
      </c>
      <c r="G1359" s="6" t="n">
        <f aca="false">F1359-C1359</f>
        <v>-4.16287945852173</v>
      </c>
      <c r="H1359" s="4" t="str">
        <f aca="false">IF(G1359&gt;2,"LATE",IF(G1359&lt;-13,"EARLY","IN"))</f>
        <v>IN</v>
      </c>
      <c r="I1359" s="4" t="n">
        <f aca="false">C1359-D1359</f>
        <v>20</v>
      </c>
    </row>
    <row r="1360" customFormat="false" ht="15" hidden="false" customHeight="false" outlineLevel="0" collapsed="false">
      <c r="A1360" s="4" t="n">
        <v>28</v>
      </c>
      <c r="B1360" s="4" t="n">
        <v>46</v>
      </c>
      <c r="C1360" s="4" t="n">
        <v>277</v>
      </c>
      <c r="D1360" s="4" t="n">
        <v>255</v>
      </c>
      <c r="E1360" s="6" t="n">
        <v>15.1363457908878</v>
      </c>
      <c r="F1360" s="6" t="n">
        <f aca="false">D1360+E1360</f>
        <v>270.136345790888</v>
      </c>
      <c r="G1360" s="6" t="n">
        <f aca="false">F1360-C1360</f>
        <v>-6.86365420911216</v>
      </c>
      <c r="H1360" s="4" t="str">
        <f aca="false">IF(G1360&gt;2,"LATE",IF(G1360&lt;-13,"EARLY","IN"))</f>
        <v>IN</v>
      </c>
      <c r="I1360" s="4" t="n">
        <f aca="false">C1360-D1360</f>
        <v>22</v>
      </c>
    </row>
    <row r="1361" customFormat="false" ht="15" hidden="false" customHeight="false" outlineLevel="0" collapsed="false">
      <c r="A1361" s="4" t="n">
        <v>28</v>
      </c>
      <c r="B1361" s="4" t="n">
        <v>51</v>
      </c>
      <c r="C1361" s="4" t="n">
        <v>182</v>
      </c>
      <c r="D1361" s="4" t="n">
        <v>171</v>
      </c>
      <c r="E1361" s="6" t="n">
        <v>11.2881058929539</v>
      </c>
      <c r="F1361" s="6" t="n">
        <f aca="false">D1361+E1361</f>
        <v>182.288105892954</v>
      </c>
      <c r="G1361" s="6" t="n">
        <f aca="false">F1361-C1361</f>
        <v>0.288105892953837</v>
      </c>
      <c r="H1361" s="4" t="str">
        <f aca="false">IF(G1361&gt;2,"LATE",IF(G1361&lt;-13,"EARLY","IN"))</f>
        <v>IN</v>
      </c>
      <c r="I1361" s="4" t="n">
        <f aca="false">C1361-D1361</f>
        <v>11</v>
      </c>
    </row>
    <row r="1362" customFormat="false" ht="15" hidden="false" customHeight="false" outlineLevel="0" collapsed="false">
      <c r="A1362" s="4" t="n">
        <v>28</v>
      </c>
      <c r="B1362" s="4" t="n">
        <v>55</v>
      </c>
      <c r="C1362" s="4" t="n">
        <v>147</v>
      </c>
      <c r="D1362" s="4" t="n">
        <v>131</v>
      </c>
      <c r="E1362" s="6" t="n">
        <v>13.3752278275902</v>
      </c>
      <c r="F1362" s="6" t="n">
        <f aca="false">D1362+E1362</f>
        <v>144.37522782759</v>
      </c>
      <c r="G1362" s="6" t="n">
        <f aca="false">F1362-C1362</f>
        <v>-2.62477217240979</v>
      </c>
      <c r="H1362" s="4" t="str">
        <f aca="false">IF(G1362&gt;2,"LATE",IF(G1362&lt;-13,"EARLY","IN"))</f>
        <v>IN</v>
      </c>
      <c r="I1362" s="4" t="n">
        <f aca="false">C1362-D1362</f>
        <v>16</v>
      </c>
    </row>
    <row r="1363" customFormat="false" ht="15" hidden="false" customHeight="false" outlineLevel="0" collapsed="false">
      <c r="A1363" s="4" t="n">
        <v>28</v>
      </c>
      <c r="B1363" s="4" t="n">
        <v>59</v>
      </c>
      <c r="C1363" s="4" t="n">
        <v>169</v>
      </c>
      <c r="D1363" s="4" t="n">
        <v>153</v>
      </c>
      <c r="E1363" s="6" t="n">
        <v>13.3175245978977</v>
      </c>
      <c r="F1363" s="6" t="n">
        <f aca="false">D1363+E1363</f>
        <v>166.317524597898</v>
      </c>
      <c r="G1363" s="6" t="n">
        <f aca="false">F1363-C1363</f>
        <v>-2.68247540210228</v>
      </c>
      <c r="H1363" s="4" t="str">
        <f aca="false">IF(G1363&gt;2,"LATE",IF(G1363&lt;-13,"EARLY","IN"))</f>
        <v>IN</v>
      </c>
      <c r="I1363" s="4" t="n">
        <f aca="false">C1363-D1363</f>
        <v>16</v>
      </c>
    </row>
    <row r="1364" customFormat="false" ht="15" hidden="false" customHeight="false" outlineLevel="0" collapsed="false">
      <c r="A1364" s="4" t="n">
        <v>28</v>
      </c>
      <c r="B1364" s="4" t="n">
        <v>66</v>
      </c>
      <c r="C1364" s="4" t="n">
        <v>190</v>
      </c>
      <c r="D1364" s="4" t="n">
        <v>167</v>
      </c>
      <c r="E1364" s="6" t="n">
        <v>19.0239731634971</v>
      </c>
      <c r="F1364" s="6" t="n">
        <f aca="false">D1364+E1364</f>
        <v>186.023973163497</v>
      </c>
      <c r="G1364" s="6" t="n">
        <f aca="false">F1364-C1364</f>
        <v>-3.97602683650291</v>
      </c>
      <c r="H1364" s="4" t="str">
        <f aca="false">IF(G1364&gt;2,"LATE",IF(G1364&lt;-13,"EARLY","IN"))</f>
        <v>IN</v>
      </c>
      <c r="I1364" s="4" t="n">
        <f aca="false">C1364-D1364</f>
        <v>23</v>
      </c>
    </row>
    <row r="1365" customFormat="false" ht="15" hidden="false" customHeight="false" outlineLevel="0" collapsed="false">
      <c r="A1365" s="4" t="n">
        <v>28</v>
      </c>
      <c r="B1365" s="4" t="n">
        <v>67</v>
      </c>
      <c r="C1365" s="4" t="n">
        <v>145</v>
      </c>
      <c r="D1365" s="4" t="n">
        <v>126</v>
      </c>
      <c r="E1365" s="6" t="n">
        <v>15.9931561645076</v>
      </c>
      <c r="F1365" s="6" t="n">
        <f aca="false">D1365+E1365</f>
        <v>141.993156164508</v>
      </c>
      <c r="G1365" s="6" t="n">
        <f aca="false">F1365-C1365</f>
        <v>-3.00684383549236</v>
      </c>
      <c r="H1365" s="4" t="str">
        <f aca="false">IF(G1365&gt;2,"LATE",IF(G1365&lt;-13,"EARLY","IN"))</f>
        <v>IN</v>
      </c>
      <c r="I1365" s="4" t="n">
        <f aca="false">C1365-D1365</f>
        <v>19</v>
      </c>
    </row>
    <row r="1366" customFormat="false" ht="15" hidden="false" customHeight="false" outlineLevel="0" collapsed="false">
      <c r="A1366" s="4" t="n">
        <v>28</v>
      </c>
      <c r="B1366" s="4" t="n">
        <v>71</v>
      </c>
      <c r="C1366" s="4" t="n">
        <v>225</v>
      </c>
      <c r="D1366" s="4" t="n">
        <v>205</v>
      </c>
      <c r="E1366" s="6" t="n">
        <v>14.9869267660459</v>
      </c>
      <c r="F1366" s="6" t="n">
        <f aca="false">D1366+E1366</f>
        <v>219.986926766046</v>
      </c>
      <c r="G1366" s="6" t="n">
        <f aca="false">F1366-C1366</f>
        <v>-5.01307323395406</v>
      </c>
      <c r="H1366" s="4" t="str">
        <f aca="false">IF(G1366&gt;2,"LATE",IF(G1366&lt;-13,"EARLY","IN"))</f>
        <v>IN</v>
      </c>
      <c r="I1366" s="4" t="n">
        <f aca="false">C1366-D1366</f>
        <v>20</v>
      </c>
    </row>
    <row r="1367" customFormat="false" ht="15" hidden="false" customHeight="false" outlineLevel="0" collapsed="false">
      <c r="A1367" s="4" t="n">
        <v>28</v>
      </c>
      <c r="B1367" s="4" t="n">
        <v>77</v>
      </c>
      <c r="C1367" s="4" t="n">
        <v>174</v>
      </c>
      <c r="D1367" s="4" t="n">
        <v>159</v>
      </c>
      <c r="E1367" s="6" t="n">
        <v>16.6219125289418</v>
      </c>
      <c r="F1367" s="6" t="n">
        <f aca="false">D1367+E1367</f>
        <v>175.621912528942</v>
      </c>
      <c r="G1367" s="6" t="n">
        <f aca="false">F1367-C1367</f>
        <v>1.62191252894183</v>
      </c>
      <c r="H1367" s="4" t="str">
        <f aca="false">IF(G1367&gt;2,"LATE",IF(G1367&lt;-13,"EARLY","IN"))</f>
        <v>IN</v>
      </c>
      <c r="I1367" s="4" t="n">
        <f aca="false">C1367-D1367</f>
        <v>15</v>
      </c>
    </row>
    <row r="1368" customFormat="false" ht="15" hidden="false" customHeight="false" outlineLevel="0" collapsed="false">
      <c r="A1368" s="4" t="n">
        <v>28</v>
      </c>
      <c r="B1368" s="4" t="n">
        <v>78</v>
      </c>
      <c r="C1368" s="4" t="n">
        <v>228</v>
      </c>
      <c r="D1368" s="4" t="n">
        <v>204</v>
      </c>
      <c r="E1368" s="6" t="n">
        <v>16.9939195778318</v>
      </c>
      <c r="F1368" s="6" t="n">
        <f aca="false">D1368+E1368</f>
        <v>220.993919577832</v>
      </c>
      <c r="G1368" s="6" t="n">
        <f aca="false">F1368-C1368</f>
        <v>-7.00608042216817</v>
      </c>
      <c r="H1368" s="4" t="str">
        <f aca="false">IF(G1368&gt;2,"LATE",IF(G1368&lt;-13,"EARLY","IN"))</f>
        <v>IN</v>
      </c>
      <c r="I1368" s="4" t="n">
        <f aca="false">C1368-D1368</f>
        <v>24</v>
      </c>
    </row>
    <row r="1369" customFormat="false" ht="15" hidden="false" customHeight="false" outlineLevel="0" collapsed="false">
      <c r="A1369" s="4" t="n">
        <v>28</v>
      </c>
      <c r="B1369" s="4" t="n">
        <v>80</v>
      </c>
      <c r="C1369" s="4" t="n">
        <v>284</v>
      </c>
      <c r="D1369" s="4" t="n">
        <v>265</v>
      </c>
      <c r="E1369" s="6" t="n">
        <v>13.6729354655448</v>
      </c>
      <c r="F1369" s="6" t="n">
        <f aca="false">D1369+E1369</f>
        <v>278.672935465545</v>
      </c>
      <c r="G1369" s="6" t="n">
        <f aca="false">F1369-C1369</f>
        <v>-5.32706453445525</v>
      </c>
      <c r="H1369" s="4" t="str">
        <f aca="false">IF(G1369&gt;2,"LATE",IF(G1369&lt;-13,"EARLY","IN"))</f>
        <v>IN</v>
      </c>
      <c r="I1369" s="4" t="n">
        <f aca="false">C1369-D1369</f>
        <v>19</v>
      </c>
    </row>
    <row r="1370" customFormat="false" ht="15" hidden="false" customHeight="false" outlineLevel="0" collapsed="false">
      <c r="A1370" s="4" t="n">
        <v>28</v>
      </c>
      <c r="B1370" s="4" t="n">
        <v>82</v>
      </c>
      <c r="C1370" s="4" t="n">
        <v>223</v>
      </c>
      <c r="D1370" s="4" t="n">
        <v>211</v>
      </c>
      <c r="E1370" s="6" t="n">
        <v>13.6577904687536</v>
      </c>
      <c r="F1370" s="6" t="n">
        <f aca="false">D1370+E1370</f>
        <v>224.657790468754</v>
      </c>
      <c r="G1370" s="6" t="n">
        <f aca="false">F1370-C1370</f>
        <v>1.65779046875363</v>
      </c>
      <c r="H1370" s="4" t="str">
        <f aca="false">IF(G1370&gt;2,"LATE",IF(G1370&lt;-13,"EARLY","IN"))</f>
        <v>IN</v>
      </c>
      <c r="I1370" s="4" t="n">
        <f aca="false">C1370-D1370</f>
        <v>12</v>
      </c>
    </row>
    <row r="1371" customFormat="false" ht="15" hidden="false" customHeight="false" outlineLevel="0" collapsed="false">
      <c r="A1371" s="4" t="n">
        <v>28</v>
      </c>
      <c r="B1371" s="4" t="n">
        <v>86</v>
      </c>
      <c r="C1371" s="4" t="n">
        <v>205</v>
      </c>
      <c r="D1371" s="4" t="n">
        <v>186</v>
      </c>
      <c r="E1371" s="6" t="n">
        <v>13.9544978803854</v>
      </c>
      <c r="F1371" s="6" t="n">
        <f aca="false">D1371+E1371</f>
        <v>199.954497880385</v>
      </c>
      <c r="G1371" s="6" t="n">
        <f aca="false">F1371-C1371</f>
        <v>-5.04550211961464</v>
      </c>
      <c r="H1371" s="4" t="str">
        <f aca="false">IF(G1371&gt;2,"LATE",IF(G1371&lt;-13,"EARLY","IN"))</f>
        <v>IN</v>
      </c>
      <c r="I1371" s="4" t="n">
        <f aca="false">C1371-D1371</f>
        <v>19</v>
      </c>
    </row>
    <row r="1372" customFormat="false" ht="15" hidden="false" customHeight="false" outlineLevel="0" collapsed="false">
      <c r="A1372" s="4" t="n">
        <v>28</v>
      </c>
      <c r="B1372" s="4" t="n">
        <v>91</v>
      </c>
      <c r="C1372" s="4" t="n">
        <v>199</v>
      </c>
      <c r="D1372" s="4" t="n">
        <v>184</v>
      </c>
      <c r="E1372" s="6" t="n">
        <v>11.3263052419409</v>
      </c>
      <c r="F1372" s="6" t="n">
        <f aca="false">D1372+E1372</f>
        <v>195.326305241941</v>
      </c>
      <c r="G1372" s="6" t="n">
        <f aca="false">F1372-C1372</f>
        <v>-3.6736947580591</v>
      </c>
      <c r="H1372" s="4" t="str">
        <f aca="false">IF(G1372&gt;2,"LATE",IF(G1372&lt;-13,"EARLY","IN"))</f>
        <v>IN</v>
      </c>
      <c r="I1372" s="4" t="n">
        <f aca="false">C1372-D1372</f>
        <v>15</v>
      </c>
    </row>
    <row r="1373" customFormat="false" ht="15" hidden="false" customHeight="false" outlineLevel="0" collapsed="false">
      <c r="A1373" s="4" t="n">
        <v>28</v>
      </c>
      <c r="B1373" s="4" t="n">
        <v>93</v>
      </c>
      <c r="C1373" s="4" t="n">
        <v>222</v>
      </c>
      <c r="D1373" s="4" t="n">
        <v>206</v>
      </c>
      <c r="E1373" s="6" t="n">
        <v>17.4181353473906</v>
      </c>
      <c r="F1373" s="6" t="n">
        <f aca="false">D1373+E1373</f>
        <v>223.418135347391</v>
      </c>
      <c r="G1373" s="6" t="n">
        <f aca="false">F1373-C1373</f>
        <v>1.41813534739063</v>
      </c>
      <c r="H1373" s="4" t="str">
        <f aca="false">IF(G1373&gt;2,"LATE",IF(G1373&lt;-13,"EARLY","IN"))</f>
        <v>IN</v>
      </c>
      <c r="I1373" s="4" t="n">
        <f aca="false">C1373-D1373</f>
        <v>16</v>
      </c>
    </row>
    <row r="1374" customFormat="false" ht="15" hidden="false" customHeight="false" outlineLevel="0" collapsed="false">
      <c r="A1374" s="4" t="n">
        <v>28</v>
      </c>
      <c r="B1374" s="4" t="n">
        <v>96</v>
      </c>
      <c r="C1374" s="4" t="n">
        <v>339</v>
      </c>
      <c r="D1374" s="4" t="n">
        <v>312</v>
      </c>
      <c r="E1374" s="6" t="n">
        <v>13.6927653982288</v>
      </c>
      <c r="F1374" s="6" t="n">
        <f aca="false">D1374+E1374</f>
        <v>325.692765398229</v>
      </c>
      <c r="G1374" s="6" t="n">
        <f aca="false">F1374-C1374</f>
        <v>-13.3072346017713</v>
      </c>
      <c r="H1374" s="4" t="str">
        <f aca="false">IF(G1374&gt;2,"LATE",IF(G1374&lt;-13,"EARLY","IN"))</f>
        <v>EARLY</v>
      </c>
      <c r="I1374" s="4" t="n">
        <f aca="false">C1374-D1374</f>
        <v>27</v>
      </c>
    </row>
    <row r="1375" customFormat="false" ht="15" hidden="false" customHeight="false" outlineLevel="0" collapsed="false">
      <c r="A1375" s="4" t="n">
        <v>28</v>
      </c>
      <c r="B1375" s="4" t="n">
        <v>99</v>
      </c>
      <c r="C1375" s="4" t="n">
        <v>263</v>
      </c>
      <c r="D1375" s="4" t="n">
        <v>246</v>
      </c>
      <c r="E1375" s="6" t="n">
        <v>12.4801662792863</v>
      </c>
      <c r="F1375" s="6" t="n">
        <f aca="false">D1375+E1375</f>
        <v>258.480166279286</v>
      </c>
      <c r="G1375" s="6" t="n">
        <f aca="false">F1375-C1375</f>
        <v>-4.51983372071368</v>
      </c>
      <c r="H1375" s="4" t="str">
        <f aca="false">IF(G1375&gt;2,"LATE",IF(G1375&lt;-13,"EARLY","IN"))</f>
        <v>IN</v>
      </c>
      <c r="I1375" s="4" t="n">
        <f aca="false">C1375-D1375</f>
        <v>17</v>
      </c>
    </row>
    <row r="1376" customFormat="false" ht="15" hidden="false" customHeight="false" outlineLevel="0" collapsed="false">
      <c r="A1376" s="4" t="n">
        <v>28</v>
      </c>
      <c r="B1376" s="4" t="n">
        <v>102</v>
      </c>
      <c r="C1376" s="4" t="n">
        <v>222</v>
      </c>
      <c r="D1376" s="4" t="n">
        <v>206</v>
      </c>
      <c r="E1376" s="6" t="n">
        <v>17.2981319105683</v>
      </c>
      <c r="F1376" s="6" t="n">
        <f aca="false">D1376+E1376</f>
        <v>223.298131910568</v>
      </c>
      <c r="G1376" s="6" t="n">
        <f aca="false">F1376-C1376</f>
        <v>1.29813191056834</v>
      </c>
      <c r="H1376" s="4" t="str">
        <f aca="false">IF(G1376&gt;2,"LATE",IF(G1376&lt;-13,"EARLY","IN"))</f>
        <v>IN</v>
      </c>
      <c r="I1376" s="4" t="n">
        <f aca="false">C1376-D1376</f>
        <v>16</v>
      </c>
    </row>
    <row r="1377" customFormat="false" ht="15" hidden="false" customHeight="false" outlineLevel="0" collapsed="false">
      <c r="A1377" s="4" t="n">
        <v>28</v>
      </c>
      <c r="B1377" s="4" t="n">
        <v>104</v>
      </c>
      <c r="C1377" s="4" t="n">
        <v>178</v>
      </c>
      <c r="D1377" s="4" t="n">
        <v>157</v>
      </c>
      <c r="E1377" s="6" t="n">
        <v>17.9042196050166</v>
      </c>
      <c r="F1377" s="6" t="n">
        <f aca="false">D1377+E1377</f>
        <v>174.904219605017</v>
      </c>
      <c r="G1377" s="6" t="n">
        <f aca="false">F1377-C1377</f>
        <v>-3.09578039498342</v>
      </c>
      <c r="H1377" s="4" t="str">
        <f aca="false">IF(G1377&gt;2,"LATE",IF(G1377&lt;-13,"EARLY","IN"))</f>
        <v>IN</v>
      </c>
      <c r="I1377" s="4" t="n">
        <f aca="false">C1377-D1377</f>
        <v>21</v>
      </c>
    </row>
    <row r="1378" customFormat="false" ht="15" hidden="false" customHeight="false" outlineLevel="0" collapsed="false">
      <c r="A1378" s="4" t="n">
        <v>28</v>
      </c>
      <c r="B1378" s="4" t="n">
        <v>105</v>
      </c>
      <c r="C1378" s="4" t="n">
        <v>149</v>
      </c>
      <c r="D1378" s="4" t="n">
        <v>138</v>
      </c>
      <c r="E1378" s="6" t="n">
        <v>13.7433511528858</v>
      </c>
      <c r="F1378" s="6" t="n">
        <f aca="false">D1378+E1378</f>
        <v>151.743351152886</v>
      </c>
      <c r="G1378" s="6" t="n">
        <f aca="false">F1378-C1378</f>
        <v>2.74335115288579</v>
      </c>
      <c r="H1378" s="4" t="str">
        <f aca="false">IF(G1378&gt;2,"LATE",IF(G1378&lt;-13,"EARLY","IN"))</f>
        <v>LATE</v>
      </c>
      <c r="I1378" s="4" t="n">
        <f aca="false">C1378-D1378</f>
        <v>11</v>
      </c>
    </row>
    <row r="1379" customFormat="false" ht="15" hidden="false" customHeight="false" outlineLevel="0" collapsed="false">
      <c r="A1379" s="4" t="n">
        <v>28</v>
      </c>
      <c r="B1379" s="4" t="n">
        <v>107</v>
      </c>
      <c r="C1379" s="4" t="n">
        <v>200</v>
      </c>
      <c r="D1379" s="4" t="n">
        <v>188</v>
      </c>
      <c r="E1379" s="6" t="n">
        <v>12.3892641766723</v>
      </c>
      <c r="F1379" s="6" t="n">
        <f aca="false">D1379+E1379</f>
        <v>200.389264176672</v>
      </c>
      <c r="G1379" s="6" t="n">
        <f aca="false">F1379-C1379</f>
        <v>0.38926417667227</v>
      </c>
      <c r="H1379" s="4" t="str">
        <f aca="false">IF(G1379&gt;2,"LATE",IF(G1379&lt;-13,"EARLY","IN"))</f>
        <v>IN</v>
      </c>
      <c r="I1379" s="4" t="n">
        <f aca="false">C1379-D1379</f>
        <v>12</v>
      </c>
    </row>
    <row r="1380" customFormat="false" ht="15" hidden="false" customHeight="false" outlineLevel="0" collapsed="false">
      <c r="A1380" s="4" t="n">
        <v>28</v>
      </c>
      <c r="B1380" s="4" t="n">
        <v>108</v>
      </c>
      <c r="C1380" s="4" t="n">
        <v>230</v>
      </c>
      <c r="D1380" s="4" t="n">
        <v>211</v>
      </c>
      <c r="E1380" s="6" t="n">
        <v>11.2437936274658</v>
      </c>
      <c r="F1380" s="6" t="n">
        <f aca="false">D1380+E1380</f>
        <v>222.243793627466</v>
      </c>
      <c r="G1380" s="6" t="n">
        <f aca="false">F1380-C1380</f>
        <v>-7.75620637253417</v>
      </c>
      <c r="H1380" s="4" t="str">
        <f aca="false">IF(G1380&gt;2,"LATE",IF(G1380&lt;-13,"EARLY","IN"))</f>
        <v>IN</v>
      </c>
      <c r="I1380" s="4" t="n">
        <f aca="false">C1380-D1380</f>
        <v>19</v>
      </c>
    </row>
    <row r="1381" customFormat="false" ht="15" hidden="false" customHeight="false" outlineLevel="0" collapsed="false">
      <c r="A1381" s="4" t="n">
        <v>28</v>
      </c>
      <c r="B1381" s="4" t="n">
        <v>110</v>
      </c>
      <c r="C1381" s="4" t="n">
        <v>277</v>
      </c>
      <c r="D1381" s="4" t="n">
        <v>252</v>
      </c>
      <c r="E1381" s="6" t="n">
        <v>11.9999335618972</v>
      </c>
      <c r="F1381" s="6" t="n">
        <f aca="false">D1381+E1381</f>
        <v>263.999933561897</v>
      </c>
      <c r="G1381" s="6" t="n">
        <f aca="false">F1381-C1381</f>
        <v>-13.0000664381027</v>
      </c>
      <c r="H1381" s="4" t="str">
        <f aca="false">IF(G1381&gt;2,"LATE",IF(G1381&lt;-13,"EARLY","IN"))</f>
        <v>EARLY</v>
      </c>
      <c r="I1381" s="4" t="n">
        <f aca="false">C1381-D1381</f>
        <v>25</v>
      </c>
    </row>
    <row r="1382" customFormat="false" ht="15" hidden="false" customHeight="false" outlineLevel="0" collapsed="false">
      <c r="A1382" s="4" t="n">
        <v>28</v>
      </c>
      <c r="B1382" s="4" t="n">
        <v>118</v>
      </c>
      <c r="C1382" s="4" t="n">
        <v>188</v>
      </c>
      <c r="D1382" s="4" t="n">
        <v>167</v>
      </c>
      <c r="E1382" s="6" t="n">
        <v>17.0244936700105</v>
      </c>
      <c r="F1382" s="6" t="n">
        <f aca="false">D1382+E1382</f>
        <v>184.024493670011</v>
      </c>
      <c r="G1382" s="6" t="n">
        <f aca="false">F1382-C1382</f>
        <v>-3.97550632998951</v>
      </c>
      <c r="H1382" s="4" t="str">
        <f aca="false">IF(G1382&gt;2,"LATE",IF(G1382&lt;-13,"EARLY","IN"))</f>
        <v>IN</v>
      </c>
      <c r="I1382" s="4" t="n">
        <f aca="false">C1382-D1382</f>
        <v>21</v>
      </c>
    </row>
    <row r="1383" customFormat="false" ht="15" hidden="false" customHeight="false" outlineLevel="0" collapsed="false">
      <c r="A1383" s="4" t="n">
        <v>28</v>
      </c>
      <c r="B1383" s="4" t="n">
        <v>123</v>
      </c>
      <c r="C1383" s="4" t="n">
        <v>254</v>
      </c>
      <c r="D1383" s="4" t="n">
        <v>231</v>
      </c>
      <c r="E1383" s="6" t="n">
        <v>15.6658359722868</v>
      </c>
      <c r="F1383" s="6" t="n">
        <f aca="false">D1383+E1383</f>
        <v>246.665835972287</v>
      </c>
      <c r="G1383" s="6" t="n">
        <f aca="false">F1383-C1383</f>
        <v>-7.3341640277132</v>
      </c>
      <c r="H1383" s="4" t="str">
        <f aca="false">IF(G1383&gt;2,"LATE",IF(G1383&lt;-13,"EARLY","IN"))</f>
        <v>IN</v>
      </c>
      <c r="I1383" s="4" t="n">
        <f aca="false">C1383-D1383</f>
        <v>23</v>
      </c>
    </row>
    <row r="1384" customFormat="false" ht="15" hidden="false" customHeight="false" outlineLevel="0" collapsed="false">
      <c r="A1384" s="4" t="n">
        <v>28</v>
      </c>
      <c r="B1384" s="4" t="n">
        <v>131</v>
      </c>
      <c r="C1384" s="4" t="n">
        <v>263</v>
      </c>
      <c r="D1384" s="4" t="n">
        <v>235</v>
      </c>
      <c r="E1384" s="6" t="n">
        <v>14.1659972745398</v>
      </c>
      <c r="F1384" s="6" t="n">
        <f aca="false">D1384+E1384</f>
        <v>249.16599727454</v>
      </c>
      <c r="G1384" s="6" t="n">
        <f aca="false">F1384-C1384</f>
        <v>-13.8340027254602</v>
      </c>
      <c r="H1384" s="4" t="str">
        <f aca="false">IF(G1384&gt;2,"LATE",IF(G1384&lt;-13,"EARLY","IN"))</f>
        <v>EARLY</v>
      </c>
      <c r="I1384" s="4" t="n">
        <f aca="false">C1384-D1384</f>
        <v>28</v>
      </c>
    </row>
    <row r="1385" customFormat="false" ht="15" hidden="false" customHeight="false" outlineLevel="0" collapsed="false">
      <c r="A1385" s="4" t="n">
        <v>28</v>
      </c>
      <c r="B1385" s="4" t="n">
        <v>139</v>
      </c>
      <c r="C1385" s="4" t="n">
        <v>211</v>
      </c>
      <c r="D1385" s="4" t="n">
        <v>195</v>
      </c>
      <c r="E1385" s="6" t="n">
        <v>14.9846475198581</v>
      </c>
      <c r="F1385" s="6" t="n">
        <f aca="false">D1385+E1385</f>
        <v>209.984647519858</v>
      </c>
      <c r="G1385" s="6" t="n">
        <f aca="false">F1385-C1385</f>
        <v>-1.01535248014196</v>
      </c>
      <c r="H1385" s="4" t="str">
        <f aca="false">IF(G1385&gt;2,"LATE",IF(G1385&lt;-13,"EARLY","IN"))</f>
        <v>IN</v>
      </c>
      <c r="I1385" s="4" t="n">
        <f aca="false">C1385-D1385</f>
        <v>16</v>
      </c>
    </row>
    <row r="1386" customFormat="false" ht="15" hidden="false" customHeight="false" outlineLevel="0" collapsed="false">
      <c r="A1386" s="4" t="n">
        <v>28</v>
      </c>
      <c r="B1386" s="4" t="n">
        <v>147</v>
      </c>
      <c r="C1386" s="4" t="n">
        <v>323</v>
      </c>
      <c r="D1386" s="4" t="n">
        <v>289</v>
      </c>
      <c r="E1386" s="6" t="n">
        <v>17.4844918515936</v>
      </c>
      <c r="F1386" s="6" t="n">
        <f aca="false">D1386+E1386</f>
        <v>306.484491851594</v>
      </c>
      <c r="G1386" s="6" t="n">
        <f aca="false">F1386-C1386</f>
        <v>-16.5155081484065</v>
      </c>
      <c r="H1386" s="4" t="str">
        <f aca="false">IF(G1386&gt;2,"LATE",IF(G1386&lt;-13,"EARLY","IN"))</f>
        <v>EARLY</v>
      </c>
      <c r="I1386" s="4" t="n">
        <f aca="false">C1386-D1386</f>
        <v>34</v>
      </c>
    </row>
    <row r="1387" customFormat="false" ht="15" hidden="false" customHeight="false" outlineLevel="0" collapsed="false">
      <c r="A1387" s="4" t="n">
        <v>28</v>
      </c>
      <c r="B1387" s="4" t="n">
        <v>150</v>
      </c>
      <c r="C1387" s="4" t="n">
        <v>175</v>
      </c>
      <c r="D1387" s="4" t="n">
        <v>157</v>
      </c>
      <c r="E1387" s="6" t="n">
        <v>17.6477478109537</v>
      </c>
      <c r="F1387" s="6" t="n">
        <f aca="false">D1387+E1387</f>
        <v>174.647747810954</v>
      </c>
      <c r="G1387" s="6" t="n">
        <f aca="false">F1387-C1387</f>
        <v>-0.35225218904634</v>
      </c>
      <c r="H1387" s="4" t="str">
        <f aca="false">IF(G1387&gt;2,"LATE",IF(G1387&lt;-13,"EARLY","IN"))</f>
        <v>IN</v>
      </c>
      <c r="I1387" s="4" t="n">
        <f aca="false">C1387-D1387</f>
        <v>18</v>
      </c>
    </row>
    <row r="1388" customFormat="false" ht="15" hidden="false" customHeight="false" outlineLevel="0" collapsed="false">
      <c r="A1388" s="4" t="n">
        <v>28</v>
      </c>
      <c r="B1388" s="4" t="n">
        <v>156</v>
      </c>
      <c r="C1388" s="4" t="n">
        <v>228</v>
      </c>
      <c r="D1388" s="4" t="n">
        <v>211</v>
      </c>
      <c r="E1388" s="6" t="n">
        <v>14.8496380006234</v>
      </c>
      <c r="F1388" s="6" t="n">
        <f aca="false">D1388+E1388</f>
        <v>225.849638000623</v>
      </c>
      <c r="G1388" s="6" t="n">
        <f aca="false">F1388-C1388</f>
        <v>-2.1503619993766</v>
      </c>
      <c r="H1388" s="4" t="str">
        <f aca="false">IF(G1388&gt;2,"LATE",IF(G1388&lt;-13,"EARLY","IN"))</f>
        <v>IN</v>
      </c>
      <c r="I1388" s="4" t="n">
        <f aca="false">C1388-D1388</f>
        <v>17</v>
      </c>
    </row>
    <row r="1389" customFormat="false" ht="15" hidden="false" customHeight="false" outlineLevel="0" collapsed="false">
      <c r="A1389" s="4" t="n">
        <v>28</v>
      </c>
      <c r="B1389" s="4" t="n">
        <v>163</v>
      </c>
      <c r="C1389" s="4" t="n">
        <v>177</v>
      </c>
      <c r="D1389" s="4" t="n">
        <v>163</v>
      </c>
      <c r="E1389" s="6" t="n">
        <v>13.6484204737853</v>
      </c>
      <c r="F1389" s="6" t="n">
        <f aca="false">D1389+E1389</f>
        <v>176.648420473785</v>
      </c>
      <c r="G1389" s="6" t="n">
        <f aca="false">F1389-C1389</f>
        <v>-0.351579526214749</v>
      </c>
      <c r="H1389" s="4" t="str">
        <f aca="false">IF(G1389&gt;2,"LATE",IF(G1389&lt;-13,"EARLY","IN"))</f>
        <v>IN</v>
      </c>
      <c r="I1389" s="4" t="n">
        <f aca="false">C1389-D1389</f>
        <v>14</v>
      </c>
    </row>
    <row r="1390" customFormat="false" ht="15" hidden="false" customHeight="false" outlineLevel="0" collapsed="false">
      <c r="A1390" s="4" t="n">
        <v>28</v>
      </c>
      <c r="B1390" s="4" t="n">
        <v>165</v>
      </c>
      <c r="C1390" s="4" t="n">
        <v>160</v>
      </c>
      <c r="D1390" s="4" t="n">
        <v>147</v>
      </c>
      <c r="E1390" s="6" t="n">
        <v>12.5572661507595</v>
      </c>
      <c r="F1390" s="6" t="n">
        <f aca="false">D1390+E1390</f>
        <v>159.55726615076</v>
      </c>
      <c r="G1390" s="6" t="n">
        <f aca="false">F1390-C1390</f>
        <v>-0.442733849240483</v>
      </c>
      <c r="H1390" s="4" t="str">
        <f aca="false">IF(G1390&gt;2,"LATE",IF(G1390&lt;-13,"EARLY","IN"))</f>
        <v>IN</v>
      </c>
      <c r="I1390" s="4" t="n">
        <f aca="false">C1390-D1390</f>
        <v>13</v>
      </c>
    </row>
    <row r="1391" customFormat="false" ht="15" hidden="false" customHeight="false" outlineLevel="0" collapsed="false">
      <c r="A1391" s="4" t="n">
        <v>28</v>
      </c>
      <c r="B1391" s="4" t="n">
        <v>169</v>
      </c>
      <c r="C1391" s="4" t="n">
        <v>218</v>
      </c>
      <c r="D1391" s="4" t="n">
        <v>203</v>
      </c>
      <c r="E1391" s="6" t="n">
        <v>16.7376538085447</v>
      </c>
      <c r="F1391" s="6" t="n">
        <f aca="false">D1391+E1391</f>
        <v>219.737653808545</v>
      </c>
      <c r="G1391" s="6" t="n">
        <f aca="false">F1391-C1391</f>
        <v>1.73765380854471</v>
      </c>
      <c r="H1391" s="4" t="str">
        <f aca="false">IF(G1391&gt;2,"LATE",IF(G1391&lt;-13,"EARLY","IN"))</f>
        <v>IN</v>
      </c>
      <c r="I1391" s="4" t="n">
        <f aca="false">C1391-D1391</f>
        <v>15</v>
      </c>
    </row>
    <row r="1392" customFormat="false" ht="15" hidden="false" customHeight="false" outlineLevel="0" collapsed="false">
      <c r="A1392" s="4" t="n">
        <v>28</v>
      </c>
      <c r="B1392" s="4" t="n">
        <v>180</v>
      </c>
      <c r="C1392" s="4" t="n">
        <v>200</v>
      </c>
      <c r="D1392" s="4" t="n">
        <v>182</v>
      </c>
      <c r="E1392" s="6" t="n">
        <v>18.2457615377299</v>
      </c>
      <c r="F1392" s="6" t="n">
        <f aca="false">D1392+E1392</f>
        <v>200.24576153773</v>
      </c>
      <c r="G1392" s="6" t="n">
        <f aca="false">F1392-C1392</f>
        <v>0.245761537729919</v>
      </c>
      <c r="H1392" s="4" t="str">
        <f aca="false">IF(G1392&gt;2,"LATE",IF(G1392&lt;-13,"EARLY","IN"))</f>
        <v>IN</v>
      </c>
      <c r="I1392" s="4" t="n">
        <f aca="false">C1392-D1392</f>
        <v>18</v>
      </c>
    </row>
    <row r="1393" customFormat="false" ht="15" hidden="false" customHeight="false" outlineLevel="0" collapsed="false">
      <c r="A1393" s="4" t="n">
        <v>28</v>
      </c>
      <c r="B1393" s="4" t="n">
        <v>181</v>
      </c>
      <c r="C1393" s="4" t="n">
        <v>161</v>
      </c>
      <c r="D1393" s="4" t="n">
        <v>142</v>
      </c>
      <c r="E1393" s="6" t="n">
        <v>17.5705242485432</v>
      </c>
      <c r="F1393" s="6" t="n">
        <f aca="false">D1393+E1393</f>
        <v>159.570524248543</v>
      </c>
      <c r="G1393" s="6" t="n">
        <f aca="false">F1393-C1393</f>
        <v>-1.42947575145683</v>
      </c>
      <c r="H1393" s="4" t="str">
        <f aca="false">IF(G1393&gt;2,"LATE",IF(G1393&lt;-13,"EARLY","IN"))</f>
        <v>IN</v>
      </c>
      <c r="I1393" s="4" t="n">
        <f aca="false">C1393-D1393</f>
        <v>19</v>
      </c>
    </row>
    <row r="1394" customFormat="false" ht="15" hidden="false" customHeight="false" outlineLevel="0" collapsed="false">
      <c r="A1394" s="4" t="n">
        <v>28</v>
      </c>
      <c r="B1394" s="4" t="n">
        <v>182</v>
      </c>
      <c r="C1394" s="4" t="n">
        <v>220</v>
      </c>
      <c r="D1394" s="4" t="n">
        <v>195</v>
      </c>
      <c r="E1394" s="6" t="n">
        <v>13.7430258433209</v>
      </c>
      <c r="F1394" s="6" t="n">
        <f aca="false">D1394+E1394</f>
        <v>208.743025843321</v>
      </c>
      <c r="G1394" s="6" t="n">
        <f aca="false">F1394-C1394</f>
        <v>-11.2569741566791</v>
      </c>
      <c r="H1394" s="4" t="str">
        <f aca="false">IF(G1394&gt;2,"LATE",IF(G1394&lt;-13,"EARLY","IN"))</f>
        <v>IN</v>
      </c>
      <c r="I1394" s="4" t="n">
        <f aca="false">C1394-D1394</f>
        <v>25</v>
      </c>
    </row>
    <row r="1395" customFormat="false" ht="15" hidden="false" customHeight="false" outlineLevel="0" collapsed="false">
      <c r="A1395" s="4" t="n">
        <v>28</v>
      </c>
      <c r="B1395" s="4" t="n">
        <v>187</v>
      </c>
      <c r="C1395" s="4" t="n">
        <v>199</v>
      </c>
      <c r="D1395" s="4" t="n">
        <v>177</v>
      </c>
      <c r="E1395" s="6" t="n">
        <v>14.8997128331053</v>
      </c>
      <c r="F1395" s="6" t="n">
        <f aca="false">D1395+E1395</f>
        <v>191.899712833105</v>
      </c>
      <c r="G1395" s="6" t="n">
        <f aca="false">F1395-C1395</f>
        <v>-7.10028716689467</v>
      </c>
      <c r="H1395" s="4" t="str">
        <f aca="false">IF(G1395&gt;2,"LATE",IF(G1395&lt;-13,"EARLY","IN"))</f>
        <v>IN</v>
      </c>
      <c r="I1395" s="4" t="n">
        <f aca="false">C1395-D1395</f>
        <v>22</v>
      </c>
    </row>
    <row r="1396" customFormat="false" ht="15" hidden="false" customHeight="false" outlineLevel="0" collapsed="false">
      <c r="A1396" s="4" t="n">
        <v>28</v>
      </c>
      <c r="B1396" s="4" t="n">
        <v>199</v>
      </c>
      <c r="C1396" s="4" t="n">
        <v>192</v>
      </c>
      <c r="D1396" s="4" t="n">
        <v>177</v>
      </c>
      <c r="E1396" s="6" t="n">
        <v>12.0748149655908</v>
      </c>
      <c r="F1396" s="6" t="n">
        <f aca="false">D1396+E1396</f>
        <v>189.074814965591</v>
      </c>
      <c r="G1396" s="6" t="n">
        <f aca="false">F1396-C1396</f>
        <v>-2.9251850344092</v>
      </c>
      <c r="H1396" s="4" t="str">
        <f aca="false">IF(G1396&gt;2,"LATE",IF(G1396&lt;-13,"EARLY","IN"))</f>
        <v>IN</v>
      </c>
      <c r="I1396" s="4" t="n">
        <f aca="false">C1396-D1396</f>
        <v>15</v>
      </c>
    </row>
    <row r="1397" customFormat="false" ht="15" hidden="false" customHeight="false" outlineLevel="0" collapsed="false">
      <c r="A1397" s="4" t="n">
        <v>28</v>
      </c>
      <c r="B1397" s="4" t="n">
        <v>200</v>
      </c>
      <c r="C1397" s="4" t="n">
        <v>182</v>
      </c>
      <c r="D1397" s="4" t="n">
        <v>162</v>
      </c>
      <c r="E1397" s="6" t="n">
        <v>15.8930648716488</v>
      </c>
      <c r="F1397" s="6" t="n">
        <f aca="false">D1397+E1397</f>
        <v>177.893064871649</v>
      </c>
      <c r="G1397" s="6" t="n">
        <f aca="false">F1397-C1397</f>
        <v>-4.10693512835118</v>
      </c>
      <c r="H1397" s="4" t="str">
        <f aca="false">IF(G1397&gt;2,"LATE",IF(G1397&lt;-13,"EARLY","IN"))</f>
        <v>IN</v>
      </c>
      <c r="I1397" s="4" t="n">
        <f aca="false">C1397-D1397</f>
        <v>20</v>
      </c>
    </row>
    <row r="1398" customFormat="false" ht="15" hidden="false" customHeight="false" outlineLevel="0" collapsed="false">
      <c r="A1398" s="4" t="n">
        <v>28</v>
      </c>
      <c r="B1398" s="4" t="n">
        <v>201</v>
      </c>
      <c r="C1398" s="4" t="n">
        <v>201</v>
      </c>
      <c r="D1398" s="4" t="n">
        <v>180</v>
      </c>
      <c r="E1398" s="6" t="n">
        <v>12.1209252497071</v>
      </c>
      <c r="F1398" s="6" t="n">
        <f aca="false">D1398+E1398</f>
        <v>192.120925249707</v>
      </c>
      <c r="G1398" s="6" t="n">
        <f aca="false">F1398-C1398</f>
        <v>-8.87907475029289</v>
      </c>
      <c r="H1398" s="4" t="str">
        <f aca="false">IF(G1398&gt;2,"LATE",IF(G1398&lt;-13,"EARLY","IN"))</f>
        <v>IN</v>
      </c>
      <c r="I1398" s="4" t="n">
        <f aca="false">C1398-D1398</f>
        <v>21</v>
      </c>
    </row>
    <row r="1399" customFormat="false" ht="15" hidden="false" customHeight="false" outlineLevel="0" collapsed="false">
      <c r="A1399" s="4" t="n">
        <v>28</v>
      </c>
      <c r="B1399" s="4" t="n">
        <v>213</v>
      </c>
      <c r="C1399" s="4" t="n">
        <v>263</v>
      </c>
      <c r="D1399" s="4" t="n">
        <v>244</v>
      </c>
      <c r="E1399" s="6" t="n">
        <v>12.5855977992563</v>
      </c>
      <c r="F1399" s="6" t="n">
        <f aca="false">D1399+E1399</f>
        <v>256.585597799256</v>
      </c>
      <c r="G1399" s="6" t="n">
        <f aca="false">F1399-C1399</f>
        <v>-6.41440220074367</v>
      </c>
      <c r="H1399" s="4" t="str">
        <f aca="false">IF(G1399&gt;2,"LATE",IF(G1399&lt;-13,"EARLY","IN"))</f>
        <v>IN</v>
      </c>
      <c r="I1399" s="4" t="n">
        <f aca="false">C1399-D1399</f>
        <v>19</v>
      </c>
    </row>
    <row r="1400" customFormat="false" ht="15" hidden="false" customHeight="false" outlineLevel="0" collapsed="false">
      <c r="A1400" s="4" t="n">
        <v>28</v>
      </c>
      <c r="B1400" s="4" t="n">
        <v>215</v>
      </c>
      <c r="C1400" s="4" t="n">
        <v>156</v>
      </c>
      <c r="D1400" s="4" t="n">
        <v>142</v>
      </c>
      <c r="E1400" s="6" t="n">
        <v>13.3369574060375</v>
      </c>
      <c r="F1400" s="6" t="n">
        <f aca="false">D1400+E1400</f>
        <v>155.336957406037</v>
      </c>
      <c r="G1400" s="6" t="n">
        <f aca="false">F1400-C1400</f>
        <v>-0.66304259396253</v>
      </c>
      <c r="H1400" s="4" t="str">
        <f aca="false">IF(G1400&gt;2,"LATE",IF(G1400&lt;-13,"EARLY","IN"))</f>
        <v>IN</v>
      </c>
      <c r="I1400" s="4" t="n">
        <f aca="false">C1400-D1400</f>
        <v>14</v>
      </c>
    </row>
    <row r="1401" customFormat="false" ht="15" hidden="false" customHeight="false" outlineLevel="0" collapsed="false">
      <c r="A1401" s="4" t="n">
        <v>28</v>
      </c>
      <c r="B1401" s="4" t="n">
        <v>218</v>
      </c>
      <c r="C1401" s="4" t="n">
        <v>133</v>
      </c>
      <c r="D1401" s="4" t="n">
        <v>123</v>
      </c>
      <c r="E1401" s="6" t="n">
        <v>7.0409493538746</v>
      </c>
      <c r="F1401" s="6" t="n">
        <f aca="false">D1401+E1401</f>
        <v>130.040949353875</v>
      </c>
      <c r="G1401" s="6" t="n">
        <f aca="false">F1401-C1401</f>
        <v>-2.95905064612541</v>
      </c>
      <c r="H1401" s="4" t="str">
        <f aca="false">IF(G1401&gt;2,"LATE",IF(G1401&lt;-13,"EARLY","IN"))</f>
        <v>IN</v>
      </c>
      <c r="I1401" s="4" t="n">
        <f aca="false">C1401-D1401</f>
        <v>10</v>
      </c>
    </row>
    <row r="1402" customFormat="false" ht="15" hidden="false" customHeight="false" outlineLevel="0" collapsed="false">
      <c r="A1402" s="4" t="n">
        <v>29</v>
      </c>
      <c r="B1402" s="4" t="n">
        <v>2</v>
      </c>
      <c r="C1402" s="4" t="n">
        <v>164</v>
      </c>
      <c r="D1402" s="4" t="n">
        <v>145</v>
      </c>
      <c r="E1402" s="6" t="n">
        <v>11.3424739675641</v>
      </c>
      <c r="F1402" s="6" t="n">
        <f aca="false">D1402+E1402</f>
        <v>156.342473967564</v>
      </c>
      <c r="G1402" s="6" t="n">
        <f aca="false">F1402-C1402</f>
        <v>-7.65752603243587</v>
      </c>
      <c r="H1402" s="4" t="str">
        <f aca="false">IF(G1402&gt;2,"LATE",IF(G1402&lt;-13,"EARLY","IN"))</f>
        <v>IN</v>
      </c>
      <c r="I1402" s="4" t="n">
        <f aca="false">C1402-D1402</f>
        <v>19</v>
      </c>
    </row>
    <row r="1403" customFormat="false" ht="15" hidden="false" customHeight="false" outlineLevel="0" collapsed="false">
      <c r="A1403" s="4" t="n">
        <v>29</v>
      </c>
      <c r="B1403" s="4" t="n">
        <v>8</v>
      </c>
      <c r="C1403" s="4" t="n">
        <v>276</v>
      </c>
      <c r="D1403" s="4" t="n">
        <v>260</v>
      </c>
      <c r="E1403" s="6" t="n">
        <v>13.5521076394869</v>
      </c>
      <c r="F1403" s="6" t="n">
        <f aca="false">D1403+E1403</f>
        <v>273.552107639487</v>
      </c>
      <c r="G1403" s="6" t="n">
        <f aca="false">F1403-C1403</f>
        <v>-2.44789236051309</v>
      </c>
      <c r="H1403" s="4" t="str">
        <f aca="false">IF(G1403&gt;2,"LATE",IF(G1403&lt;-13,"EARLY","IN"))</f>
        <v>IN</v>
      </c>
      <c r="I1403" s="4" t="n">
        <f aca="false">C1403-D1403</f>
        <v>16</v>
      </c>
    </row>
    <row r="1404" customFormat="false" ht="15" hidden="false" customHeight="false" outlineLevel="0" collapsed="false">
      <c r="A1404" s="4" t="n">
        <v>29</v>
      </c>
      <c r="B1404" s="4" t="n">
        <v>9</v>
      </c>
      <c r="C1404" s="4" t="n">
        <v>181</v>
      </c>
      <c r="D1404" s="4" t="n">
        <v>155</v>
      </c>
      <c r="E1404" s="6" t="n">
        <v>15.5300953150432</v>
      </c>
      <c r="F1404" s="6" t="n">
        <f aca="false">D1404+E1404</f>
        <v>170.530095315043</v>
      </c>
      <c r="G1404" s="6" t="n">
        <f aca="false">F1404-C1404</f>
        <v>-10.4699046849568</v>
      </c>
      <c r="H1404" s="4" t="str">
        <f aca="false">IF(G1404&gt;2,"LATE",IF(G1404&lt;-13,"EARLY","IN"))</f>
        <v>IN</v>
      </c>
      <c r="I1404" s="4" t="n">
        <f aca="false">C1404-D1404</f>
        <v>26</v>
      </c>
    </row>
    <row r="1405" customFormat="false" ht="15" hidden="false" customHeight="false" outlineLevel="0" collapsed="false">
      <c r="A1405" s="4" t="n">
        <v>29</v>
      </c>
      <c r="B1405" s="4" t="n">
        <v>17</v>
      </c>
      <c r="C1405" s="4" t="n">
        <v>228</v>
      </c>
      <c r="D1405" s="4" t="n">
        <v>209</v>
      </c>
      <c r="E1405" s="6" t="n">
        <v>15.1414070729119</v>
      </c>
      <c r="F1405" s="6" t="n">
        <f aca="false">D1405+E1405</f>
        <v>224.141407072912</v>
      </c>
      <c r="G1405" s="6" t="n">
        <f aca="false">F1405-C1405</f>
        <v>-3.85859292708815</v>
      </c>
      <c r="H1405" s="4" t="str">
        <f aca="false">IF(G1405&gt;2,"LATE",IF(G1405&lt;-13,"EARLY","IN"))</f>
        <v>IN</v>
      </c>
      <c r="I1405" s="4" t="n">
        <f aca="false">C1405-D1405</f>
        <v>19</v>
      </c>
    </row>
    <row r="1406" customFormat="false" ht="15" hidden="false" customHeight="false" outlineLevel="0" collapsed="false">
      <c r="A1406" s="4" t="n">
        <v>29</v>
      </c>
      <c r="B1406" s="4" t="n">
        <v>21</v>
      </c>
      <c r="C1406" s="4" t="n">
        <v>205</v>
      </c>
      <c r="D1406" s="4" t="n">
        <v>182</v>
      </c>
      <c r="E1406" s="6" t="n">
        <v>14.5251251325309</v>
      </c>
      <c r="F1406" s="6" t="n">
        <f aca="false">D1406+E1406</f>
        <v>196.525125132531</v>
      </c>
      <c r="G1406" s="6" t="n">
        <f aca="false">F1406-C1406</f>
        <v>-8.47487486746911</v>
      </c>
      <c r="H1406" s="4" t="str">
        <f aca="false">IF(G1406&gt;2,"LATE",IF(G1406&lt;-13,"EARLY","IN"))</f>
        <v>IN</v>
      </c>
      <c r="I1406" s="4" t="n">
        <f aca="false">C1406-D1406</f>
        <v>23</v>
      </c>
    </row>
    <row r="1407" customFormat="false" ht="15" hidden="false" customHeight="false" outlineLevel="0" collapsed="false">
      <c r="A1407" s="4" t="n">
        <v>29</v>
      </c>
      <c r="B1407" s="4" t="n">
        <v>23</v>
      </c>
      <c r="C1407" s="4" t="n">
        <v>213</v>
      </c>
      <c r="D1407" s="4" t="n">
        <v>191</v>
      </c>
      <c r="E1407" s="6" t="n">
        <v>16.532292822152</v>
      </c>
      <c r="F1407" s="6" t="n">
        <f aca="false">D1407+E1407</f>
        <v>207.532292822152</v>
      </c>
      <c r="G1407" s="6" t="n">
        <f aca="false">F1407-C1407</f>
        <v>-5.46770717784798</v>
      </c>
      <c r="H1407" s="4" t="str">
        <f aca="false">IF(G1407&gt;2,"LATE",IF(G1407&lt;-13,"EARLY","IN"))</f>
        <v>IN</v>
      </c>
      <c r="I1407" s="4" t="n">
        <f aca="false">C1407-D1407</f>
        <v>22</v>
      </c>
    </row>
    <row r="1408" customFormat="false" ht="15" hidden="false" customHeight="false" outlineLevel="0" collapsed="false">
      <c r="A1408" s="4" t="n">
        <v>29</v>
      </c>
      <c r="B1408" s="4" t="n">
        <v>27</v>
      </c>
      <c r="C1408" s="4" t="n">
        <v>178</v>
      </c>
      <c r="D1408" s="4" t="n">
        <v>162</v>
      </c>
      <c r="E1408" s="6" t="n">
        <v>15.5405997387593</v>
      </c>
      <c r="F1408" s="6" t="n">
        <f aca="false">D1408+E1408</f>
        <v>177.540599738759</v>
      </c>
      <c r="G1408" s="6" t="n">
        <f aca="false">F1408-C1408</f>
        <v>-0.459400261240717</v>
      </c>
      <c r="H1408" s="4" t="str">
        <f aca="false">IF(G1408&gt;2,"LATE",IF(G1408&lt;-13,"EARLY","IN"))</f>
        <v>IN</v>
      </c>
      <c r="I1408" s="4" t="n">
        <f aca="false">C1408-D1408</f>
        <v>16</v>
      </c>
    </row>
    <row r="1409" customFormat="false" ht="15" hidden="false" customHeight="false" outlineLevel="0" collapsed="false">
      <c r="A1409" s="4" t="n">
        <v>29</v>
      </c>
      <c r="B1409" s="4" t="n">
        <v>32</v>
      </c>
      <c r="C1409" s="4" t="n">
        <v>193</v>
      </c>
      <c r="D1409" s="4" t="n">
        <v>181</v>
      </c>
      <c r="E1409" s="6" t="n">
        <v>14.3931666402602</v>
      </c>
      <c r="F1409" s="6" t="n">
        <f aca="false">D1409+E1409</f>
        <v>195.39316664026</v>
      </c>
      <c r="G1409" s="6" t="n">
        <f aca="false">F1409-C1409</f>
        <v>2.39316664026023</v>
      </c>
      <c r="H1409" s="4" t="str">
        <f aca="false">IF(G1409&gt;2,"LATE",IF(G1409&lt;-13,"EARLY","IN"))</f>
        <v>LATE</v>
      </c>
      <c r="I1409" s="4" t="n">
        <f aca="false">C1409-D1409</f>
        <v>12</v>
      </c>
    </row>
    <row r="1410" customFormat="false" ht="15" hidden="false" customHeight="false" outlineLevel="0" collapsed="false">
      <c r="A1410" s="4" t="n">
        <v>29</v>
      </c>
      <c r="B1410" s="4" t="n">
        <v>33</v>
      </c>
      <c r="C1410" s="4" t="n">
        <v>286</v>
      </c>
      <c r="D1410" s="4" t="n">
        <v>268</v>
      </c>
      <c r="E1410" s="6" t="n">
        <v>12.6099944975878</v>
      </c>
      <c r="F1410" s="6" t="n">
        <f aca="false">D1410+E1410</f>
        <v>280.609994497588</v>
      </c>
      <c r="G1410" s="6" t="n">
        <f aca="false">F1410-C1410</f>
        <v>-5.39000550241224</v>
      </c>
      <c r="H1410" s="4" t="str">
        <f aca="false">IF(G1410&gt;2,"LATE",IF(G1410&lt;-13,"EARLY","IN"))</f>
        <v>IN</v>
      </c>
      <c r="I1410" s="4" t="n">
        <f aca="false">C1410-D1410</f>
        <v>18</v>
      </c>
    </row>
    <row r="1411" customFormat="false" ht="15" hidden="false" customHeight="false" outlineLevel="0" collapsed="false">
      <c r="A1411" s="4" t="n">
        <v>29</v>
      </c>
      <c r="B1411" s="4" t="n">
        <v>40</v>
      </c>
      <c r="C1411" s="4" t="n">
        <v>187</v>
      </c>
      <c r="D1411" s="4" t="n">
        <v>174</v>
      </c>
      <c r="E1411" s="6" t="n">
        <v>12.4867280989886</v>
      </c>
      <c r="F1411" s="6" t="n">
        <f aca="false">D1411+E1411</f>
        <v>186.486728098989</v>
      </c>
      <c r="G1411" s="6" t="n">
        <f aca="false">F1411-C1411</f>
        <v>-0.513271901011393</v>
      </c>
      <c r="H1411" s="4" t="str">
        <f aca="false">IF(G1411&gt;2,"LATE",IF(G1411&lt;-13,"EARLY","IN"))</f>
        <v>IN</v>
      </c>
      <c r="I1411" s="4" t="n">
        <f aca="false">C1411-D1411</f>
        <v>13</v>
      </c>
    </row>
    <row r="1412" customFormat="false" ht="15" hidden="false" customHeight="false" outlineLevel="0" collapsed="false">
      <c r="A1412" s="4" t="n">
        <v>29</v>
      </c>
      <c r="B1412" s="4" t="n">
        <v>42</v>
      </c>
      <c r="C1412" s="4" t="n">
        <v>241</v>
      </c>
      <c r="D1412" s="4" t="n">
        <v>225</v>
      </c>
      <c r="E1412" s="6" t="n">
        <v>18.6639059227581</v>
      </c>
      <c r="F1412" s="6" t="n">
        <f aca="false">D1412+E1412</f>
        <v>243.663905922758</v>
      </c>
      <c r="G1412" s="6" t="n">
        <f aca="false">F1412-C1412</f>
        <v>2.66390592275806</v>
      </c>
      <c r="H1412" s="4" t="str">
        <f aca="false">IF(G1412&gt;2,"LATE",IF(G1412&lt;-13,"EARLY","IN"))</f>
        <v>LATE</v>
      </c>
      <c r="I1412" s="4" t="n">
        <f aca="false">C1412-D1412</f>
        <v>16</v>
      </c>
    </row>
    <row r="1413" customFormat="false" ht="15" hidden="false" customHeight="false" outlineLevel="0" collapsed="false">
      <c r="A1413" s="4" t="n">
        <v>29</v>
      </c>
      <c r="B1413" s="4" t="n">
        <v>44</v>
      </c>
      <c r="C1413" s="4" t="n">
        <v>233</v>
      </c>
      <c r="D1413" s="4" t="n">
        <v>217</v>
      </c>
      <c r="E1413" s="6" t="n">
        <v>13.8567513698302</v>
      </c>
      <c r="F1413" s="6" t="n">
        <f aca="false">D1413+E1413</f>
        <v>230.85675136983</v>
      </c>
      <c r="G1413" s="6" t="n">
        <f aca="false">F1413-C1413</f>
        <v>-2.14324863016984</v>
      </c>
      <c r="H1413" s="4" t="str">
        <f aca="false">IF(G1413&gt;2,"LATE",IF(G1413&lt;-13,"EARLY","IN"))</f>
        <v>IN</v>
      </c>
      <c r="I1413" s="4" t="n">
        <f aca="false">C1413-D1413</f>
        <v>16</v>
      </c>
    </row>
    <row r="1414" customFormat="false" ht="15" hidden="false" customHeight="false" outlineLevel="0" collapsed="false">
      <c r="A1414" s="4" t="n">
        <v>29</v>
      </c>
      <c r="B1414" s="4" t="n">
        <v>47</v>
      </c>
      <c r="C1414" s="4" t="n">
        <v>227</v>
      </c>
      <c r="D1414" s="4" t="n">
        <v>208</v>
      </c>
      <c r="E1414" s="6" t="n">
        <v>17.7964985402448</v>
      </c>
      <c r="F1414" s="6" t="n">
        <f aca="false">D1414+E1414</f>
        <v>225.796498540245</v>
      </c>
      <c r="G1414" s="6" t="n">
        <f aca="false">F1414-C1414</f>
        <v>-1.20350145975524</v>
      </c>
      <c r="H1414" s="4" t="str">
        <f aca="false">IF(G1414&gt;2,"LATE",IF(G1414&lt;-13,"EARLY","IN"))</f>
        <v>IN</v>
      </c>
      <c r="I1414" s="4" t="n">
        <f aca="false">C1414-D1414</f>
        <v>19</v>
      </c>
    </row>
    <row r="1415" customFormat="false" ht="15" hidden="false" customHeight="false" outlineLevel="0" collapsed="false">
      <c r="A1415" s="4" t="n">
        <v>29</v>
      </c>
      <c r="B1415" s="4" t="n">
        <v>60</v>
      </c>
      <c r="C1415" s="4" t="n">
        <v>300</v>
      </c>
      <c r="D1415" s="4" t="n">
        <v>276</v>
      </c>
      <c r="E1415" s="6" t="n">
        <v>14.784617878417</v>
      </c>
      <c r="F1415" s="6" t="n">
        <f aca="false">D1415+E1415</f>
        <v>290.784617878417</v>
      </c>
      <c r="G1415" s="6" t="n">
        <f aca="false">F1415-C1415</f>
        <v>-9.21538212158299</v>
      </c>
      <c r="H1415" s="4" t="str">
        <f aca="false">IF(G1415&gt;2,"LATE",IF(G1415&lt;-13,"EARLY","IN"))</f>
        <v>IN</v>
      </c>
      <c r="I1415" s="4" t="n">
        <f aca="false">C1415-D1415</f>
        <v>24</v>
      </c>
    </row>
    <row r="1416" customFormat="false" ht="15" hidden="false" customHeight="false" outlineLevel="0" collapsed="false">
      <c r="A1416" s="4" t="n">
        <v>29</v>
      </c>
      <c r="B1416" s="4" t="n">
        <v>65</v>
      </c>
      <c r="C1416" s="4" t="n">
        <v>209</v>
      </c>
      <c r="D1416" s="4" t="n">
        <v>191</v>
      </c>
      <c r="E1416" s="6" t="n">
        <v>15.0428275207406</v>
      </c>
      <c r="F1416" s="6" t="n">
        <f aca="false">D1416+E1416</f>
        <v>206.042827520741</v>
      </c>
      <c r="G1416" s="6" t="n">
        <f aca="false">F1416-C1416</f>
        <v>-2.95717247925936</v>
      </c>
      <c r="H1416" s="4" t="str">
        <f aca="false">IF(G1416&gt;2,"LATE",IF(G1416&lt;-13,"EARLY","IN"))</f>
        <v>IN</v>
      </c>
      <c r="I1416" s="4" t="n">
        <f aca="false">C1416-D1416</f>
        <v>18</v>
      </c>
    </row>
    <row r="1417" customFormat="false" ht="15" hidden="false" customHeight="false" outlineLevel="0" collapsed="false">
      <c r="A1417" s="4" t="n">
        <v>29</v>
      </c>
      <c r="B1417" s="4" t="n">
        <v>66</v>
      </c>
      <c r="C1417" s="4" t="n">
        <v>190</v>
      </c>
      <c r="D1417" s="4" t="n">
        <v>174</v>
      </c>
      <c r="E1417" s="6" t="n">
        <v>11.3418799488236</v>
      </c>
      <c r="F1417" s="6" t="n">
        <f aca="false">D1417+E1417</f>
        <v>185.341879948824</v>
      </c>
      <c r="G1417" s="6" t="n">
        <f aca="false">F1417-C1417</f>
        <v>-4.65812005117635</v>
      </c>
      <c r="H1417" s="4" t="str">
        <f aca="false">IF(G1417&gt;2,"LATE",IF(G1417&lt;-13,"EARLY","IN"))</f>
        <v>IN</v>
      </c>
      <c r="I1417" s="4" t="n">
        <f aca="false">C1417-D1417</f>
        <v>16</v>
      </c>
    </row>
    <row r="1418" customFormat="false" ht="15" hidden="false" customHeight="false" outlineLevel="0" collapsed="false">
      <c r="A1418" s="4" t="n">
        <v>29</v>
      </c>
      <c r="B1418" s="4" t="n">
        <v>74</v>
      </c>
      <c r="C1418" s="4" t="n">
        <v>192</v>
      </c>
      <c r="D1418" s="4" t="n">
        <v>176</v>
      </c>
      <c r="E1418" s="6" t="n">
        <v>12.1880448069088</v>
      </c>
      <c r="F1418" s="6" t="n">
        <f aca="false">D1418+E1418</f>
        <v>188.188044806909</v>
      </c>
      <c r="G1418" s="6" t="n">
        <f aca="false">F1418-C1418</f>
        <v>-3.81195519309119</v>
      </c>
      <c r="H1418" s="4" t="str">
        <f aca="false">IF(G1418&gt;2,"LATE",IF(G1418&lt;-13,"EARLY","IN"))</f>
        <v>IN</v>
      </c>
      <c r="I1418" s="4" t="n">
        <f aca="false">C1418-D1418</f>
        <v>16</v>
      </c>
    </row>
    <row r="1419" customFormat="false" ht="15" hidden="false" customHeight="false" outlineLevel="0" collapsed="false">
      <c r="A1419" s="4" t="n">
        <v>29</v>
      </c>
      <c r="B1419" s="4" t="n">
        <v>79</v>
      </c>
      <c r="C1419" s="4" t="n">
        <v>225</v>
      </c>
      <c r="D1419" s="4" t="n">
        <v>199</v>
      </c>
      <c r="E1419" s="6" t="n">
        <v>16.2762701655198</v>
      </c>
      <c r="F1419" s="6" t="n">
        <f aca="false">D1419+E1419</f>
        <v>215.27627016552</v>
      </c>
      <c r="G1419" s="6" t="n">
        <f aca="false">F1419-C1419</f>
        <v>-9.72372983448025</v>
      </c>
      <c r="H1419" s="4" t="str">
        <f aca="false">IF(G1419&gt;2,"LATE",IF(G1419&lt;-13,"EARLY","IN"))</f>
        <v>IN</v>
      </c>
      <c r="I1419" s="4" t="n">
        <f aca="false">C1419-D1419</f>
        <v>26</v>
      </c>
    </row>
    <row r="1420" customFormat="false" ht="15" hidden="false" customHeight="false" outlineLevel="0" collapsed="false">
      <c r="A1420" s="4" t="n">
        <v>29</v>
      </c>
      <c r="B1420" s="4" t="n">
        <v>89</v>
      </c>
      <c r="C1420" s="4" t="n">
        <v>225</v>
      </c>
      <c r="D1420" s="4" t="n">
        <v>202</v>
      </c>
      <c r="E1420" s="6" t="n">
        <v>17.7334597276301</v>
      </c>
      <c r="F1420" s="6" t="n">
        <f aca="false">D1420+E1420</f>
        <v>219.73345972763</v>
      </c>
      <c r="G1420" s="6" t="n">
        <f aca="false">F1420-C1420</f>
        <v>-5.26654027236987</v>
      </c>
      <c r="H1420" s="4" t="str">
        <f aca="false">IF(G1420&gt;2,"LATE",IF(G1420&lt;-13,"EARLY","IN"))</f>
        <v>IN</v>
      </c>
      <c r="I1420" s="4" t="n">
        <f aca="false">C1420-D1420</f>
        <v>23</v>
      </c>
    </row>
    <row r="1421" customFormat="false" ht="15" hidden="false" customHeight="false" outlineLevel="0" collapsed="false">
      <c r="A1421" s="4" t="n">
        <v>29</v>
      </c>
      <c r="B1421" s="4" t="n">
        <v>92</v>
      </c>
      <c r="C1421" s="4" t="n">
        <v>207</v>
      </c>
      <c r="D1421" s="4" t="n">
        <v>188</v>
      </c>
      <c r="E1421" s="6" t="n">
        <v>17.0778298460028</v>
      </c>
      <c r="F1421" s="6" t="n">
        <f aca="false">D1421+E1421</f>
        <v>205.077829846003</v>
      </c>
      <c r="G1421" s="6" t="n">
        <f aca="false">F1421-C1421</f>
        <v>-1.92217015399723</v>
      </c>
      <c r="H1421" s="4" t="str">
        <f aca="false">IF(G1421&gt;2,"LATE",IF(G1421&lt;-13,"EARLY","IN"))</f>
        <v>IN</v>
      </c>
      <c r="I1421" s="4" t="n">
        <f aca="false">C1421-D1421</f>
        <v>19</v>
      </c>
    </row>
    <row r="1422" customFormat="false" ht="15" hidden="false" customHeight="false" outlineLevel="0" collapsed="false">
      <c r="A1422" s="4" t="n">
        <v>29</v>
      </c>
      <c r="B1422" s="4" t="n">
        <v>95</v>
      </c>
      <c r="C1422" s="4" t="n">
        <v>234</v>
      </c>
      <c r="D1422" s="4" t="n">
        <v>211</v>
      </c>
      <c r="E1422" s="6" t="n">
        <v>15.264206465746</v>
      </c>
      <c r="F1422" s="6" t="n">
        <f aca="false">D1422+E1422</f>
        <v>226.264206465746</v>
      </c>
      <c r="G1422" s="6" t="n">
        <f aca="false">F1422-C1422</f>
        <v>-7.73579353425401</v>
      </c>
      <c r="H1422" s="4" t="str">
        <f aca="false">IF(G1422&gt;2,"LATE",IF(G1422&lt;-13,"EARLY","IN"))</f>
        <v>IN</v>
      </c>
      <c r="I1422" s="4" t="n">
        <f aca="false">C1422-D1422</f>
        <v>23</v>
      </c>
    </row>
    <row r="1423" customFormat="false" ht="15" hidden="false" customHeight="false" outlineLevel="0" collapsed="false">
      <c r="A1423" s="4" t="n">
        <v>29</v>
      </c>
      <c r="B1423" s="4" t="n">
        <v>96</v>
      </c>
      <c r="C1423" s="4" t="n">
        <v>339</v>
      </c>
      <c r="D1423" s="4" t="n">
        <v>312</v>
      </c>
      <c r="E1423" s="6" t="n">
        <v>13.5487663362955</v>
      </c>
      <c r="F1423" s="6" t="n">
        <f aca="false">D1423+E1423</f>
        <v>325.548766336296</v>
      </c>
      <c r="G1423" s="6" t="n">
        <f aca="false">F1423-C1423</f>
        <v>-13.4512336637045</v>
      </c>
      <c r="H1423" s="4" t="str">
        <f aca="false">IF(G1423&gt;2,"LATE",IF(G1423&lt;-13,"EARLY","IN"))</f>
        <v>EARLY</v>
      </c>
      <c r="I1423" s="4" t="n">
        <f aca="false">C1423-D1423</f>
        <v>27</v>
      </c>
    </row>
    <row r="1424" customFormat="false" ht="15" hidden="false" customHeight="false" outlineLevel="0" collapsed="false">
      <c r="A1424" s="4" t="n">
        <v>29</v>
      </c>
      <c r="B1424" s="4" t="n">
        <v>98</v>
      </c>
      <c r="C1424" s="4" t="n">
        <v>206</v>
      </c>
      <c r="D1424" s="4" t="n">
        <v>193</v>
      </c>
      <c r="E1424" s="6" t="n">
        <v>16.1955757649088</v>
      </c>
      <c r="F1424" s="6" t="n">
        <f aca="false">D1424+E1424</f>
        <v>209.195575764909</v>
      </c>
      <c r="G1424" s="6" t="n">
        <f aca="false">F1424-C1424</f>
        <v>3.1955757649088</v>
      </c>
      <c r="H1424" s="4" t="str">
        <f aca="false">IF(G1424&gt;2,"LATE",IF(G1424&lt;-13,"EARLY","IN"))</f>
        <v>LATE</v>
      </c>
      <c r="I1424" s="4" t="n">
        <f aca="false">C1424-D1424</f>
        <v>13</v>
      </c>
    </row>
    <row r="1425" customFormat="false" ht="15" hidden="false" customHeight="false" outlineLevel="0" collapsed="false">
      <c r="A1425" s="4" t="n">
        <v>29</v>
      </c>
      <c r="B1425" s="4" t="n">
        <v>99</v>
      </c>
      <c r="C1425" s="4" t="n">
        <v>263</v>
      </c>
      <c r="D1425" s="4" t="n">
        <v>246</v>
      </c>
      <c r="E1425" s="6" t="n">
        <v>10.5074902142346</v>
      </c>
      <c r="F1425" s="6" t="n">
        <f aca="false">D1425+E1425</f>
        <v>256.507490214235</v>
      </c>
      <c r="G1425" s="6" t="n">
        <f aca="false">F1425-C1425</f>
        <v>-6.49250978576544</v>
      </c>
      <c r="H1425" s="4" t="str">
        <f aca="false">IF(G1425&gt;2,"LATE",IF(G1425&lt;-13,"EARLY","IN"))</f>
        <v>IN</v>
      </c>
      <c r="I1425" s="4" t="n">
        <f aca="false">C1425-D1425</f>
        <v>17</v>
      </c>
    </row>
    <row r="1426" customFormat="false" ht="15" hidden="false" customHeight="false" outlineLevel="0" collapsed="false">
      <c r="A1426" s="4" t="n">
        <v>29</v>
      </c>
      <c r="B1426" s="4" t="n">
        <v>107</v>
      </c>
      <c r="C1426" s="4" t="n">
        <v>200</v>
      </c>
      <c r="D1426" s="4" t="n">
        <v>188</v>
      </c>
      <c r="E1426" s="6" t="n">
        <v>11.7646760263675</v>
      </c>
      <c r="F1426" s="6" t="n">
        <f aca="false">D1426+E1426</f>
        <v>199.764676026367</v>
      </c>
      <c r="G1426" s="6" t="n">
        <f aca="false">F1426-C1426</f>
        <v>-0.235323973632518</v>
      </c>
      <c r="H1426" s="4" t="str">
        <f aca="false">IF(G1426&gt;2,"LATE",IF(G1426&lt;-13,"EARLY","IN"))</f>
        <v>IN</v>
      </c>
      <c r="I1426" s="4" t="n">
        <f aca="false">C1426-D1426</f>
        <v>12</v>
      </c>
    </row>
    <row r="1427" customFormat="false" ht="15" hidden="false" customHeight="false" outlineLevel="0" collapsed="false">
      <c r="A1427" s="4" t="n">
        <v>29</v>
      </c>
      <c r="B1427" s="4" t="n">
        <v>109</v>
      </c>
      <c r="C1427" s="4" t="n">
        <v>160</v>
      </c>
      <c r="D1427" s="4" t="n">
        <v>145</v>
      </c>
      <c r="E1427" s="6" t="n">
        <v>13.846894035656</v>
      </c>
      <c r="F1427" s="6" t="n">
        <f aca="false">D1427+E1427</f>
        <v>158.846894035656</v>
      </c>
      <c r="G1427" s="6" t="n">
        <f aca="false">F1427-C1427</f>
        <v>-1.15310596434398</v>
      </c>
      <c r="H1427" s="4" t="str">
        <f aca="false">IF(G1427&gt;2,"LATE",IF(G1427&lt;-13,"EARLY","IN"))</f>
        <v>IN</v>
      </c>
      <c r="I1427" s="4" t="n">
        <f aca="false">C1427-D1427</f>
        <v>15</v>
      </c>
    </row>
    <row r="1428" customFormat="false" ht="15" hidden="false" customHeight="false" outlineLevel="0" collapsed="false">
      <c r="A1428" s="4" t="n">
        <v>29</v>
      </c>
      <c r="B1428" s="4" t="n">
        <v>119</v>
      </c>
      <c r="C1428" s="4" t="n">
        <v>242</v>
      </c>
      <c r="D1428" s="4" t="n">
        <v>219</v>
      </c>
      <c r="E1428" s="6" t="n">
        <v>18.8099907750356</v>
      </c>
      <c r="F1428" s="6" t="n">
        <f aca="false">D1428+E1428</f>
        <v>237.809990775036</v>
      </c>
      <c r="G1428" s="6" t="n">
        <f aca="false">F1428-C1428</f>
        <v>-4.19000922496443</v>
      </c>
      <c r="H1428" s="4" t="str">
        <f aca="false">IF(G1428&gt;2,"LATE",IF(G1428&lt;-13,"EARLY","IN"))</f>
        <v>IN</v>
      </c>
      <c r="I1428" s="4" t="n">
        <f aca="false">C1428-D1428</f>
        <v>23</v>
      </c>
    </row>
    <row r="1429" customFormat="false" ht="15" hidden="false" customHeight="false" outlineLevel="0" collapsed="false">
      <c r="A1429" s="4" t="n">
        <v>29</v>
      </c>
      <c r="B1429" s="4" t="n">
        <v>121</v>
      </c>
      <c r="C1429" s="4" t="n">
        <v>153</v>
      </c>
      <c r="D1429" s="4" t="n">
        <v>135</v>
      </c>
      <c r="E1429" s="6" t="n">
        <v>15.1544322419138</v>
      </c>
      <c r="F1429" s="6" t="n">
        <f aca="false">D1429+E1429</f>
        <v>150.154432241914</v>
      </c>
      <c r="G1429" s="6" t="n">
        <f aca="false">F1429-C1429</f>
        <v>-2.84556775808622</v>
      </c>
      <c r="H1429" s="4" t="str">
        <f aca="false">IF(G1429&gt;2,"LATE",IF(G1429&lt;-13,"EARLY","IN"))</f>
        <v>IN</v>
      </c>
      <c r="I1429" s="4" t="n">
        <f aca="false">C1429-D1429</f>
        <v>18</v>
      </c>
    </row>
    <row r="1430" customFormat="false" ht="15" hidden="false" customHeight="false" outlineLevel="0" collapsed="false">
      <c r="A1430" s="4" t="n">
        <v>29</v>
      </c>
      <c r="B1430" s="4" t="n">
        <v>126</v>
      </c>
      <c r="C1430" s="4" t="n">
        <v>241</v>
      </c>
      <c r="D1430" s="4" t="n">
        <v>229</v>
      </c>
      <c r="E1430" s="6" t="n">
        <v>11.3485241869326</v>
      </c>
      <c r="F1430" s="6" t="n">
        <f aca="false">D1430+E1430</f>
        <v>240.348524186933</v>
      </c>
      <c r="G1430" s="6" t="n">
        <f aca="false">F1430-C1430</f>
        <v>-0.651475813067378</v>
      </c>
      <c r="H1430" s="4" t="str">
        <f aca="false">IF(G1430&gt;2,"LATE",IF(G1430&lt;-13,"EARLY","IN"))</f>
        <v>IN</v>
      </c>
      <c r="I1430" s="4" t="n">
        <f aca="false">C1430-D1430</f>
        <v>12</v>
      </c>
    </row>
    <row r="1431" customFormat="false" ht="15" hidden="false" customHeight="false" outlineLevel="0" collapsed="false">
      <c r="A1431" s="4" t="n">
        <v>29</v>
      </c>
      <c r="B1431" s="4" t="n">
        <v>139</v>
      </c>
      <c r="C1431" s="4" t="n">
        <v>211</v>
      </c>
      <c r="D1431" s="4" t="n">
        <v>194</v>
      </c>
      <c r="E1431" s="6" t="n">
        <v>16.0862262272096</v>
      </c>
      <c r="F1431" s="6" t="n">
        <f aca="false">D1431+E1431</f>
        <v>210.08622622721</v>
      </c>
      <c r="G1431" s="6" t="n">
        <f aca="false">F1431-C1431</f>
        <v>-0.913773772790449</v>
      </c>
      <c r="H1431" s="4" t="str">
        <f aca="false">IF(G1431&gt;2,"LATE",IF(G1431&lt;-13,"EARLY","IN"))</f>
        <v>IN</v>
      </c>
      <c r="I1431" s="4" t="n">
        <f aca="false">C1431-D1431</f>
        <v>17</v>
      </c>
    </row>
    <row r="1432" customFormat="false" ht="15" hidden="false" customHeight="false" outlineLevel="0" collapsed="false">
      <c r="A1432" s="4" t="n">
        <v>29</v>
      </c>
      <c r="B1432" s="4" t="n">
        <v>140</v>
      </c>
      <c r="C1432" s="4" t="n">
        <v>210</v>
      </c>
      <c r="D1432" s="4" t="n">
        <v>191</v>
      </c>
      <c r="E1432" s="6" t="n">
        <v>14.8925570911135</v>
      </c>
      <c r="F1432" s="6" t="n">
        <f aca="false">D1432+E1432</f>
        <v>205.892557091114</v>
      </c>
      <c r="G1432" s="6" t="n">
        <f aca="false">F1432-C1432</f>
        <v>-4.10744290888647</v>
      </c>
      <c r="H1432" s="4" t="str">
        <f aca="false">IF(G1432&gt;2,"LATE",IF(G1432&lt;-13,"EARLY","IN"))</f>
        <v>IN</v>
      </c>
      <c r="I1432" s="4" t="n">
        <f aca="false">C1432-D1432</f>
        <v>19</v>
      </c>
    </row>
    <row r="1433" customFormat="false" ht="15" hidden="false" customHeight="false" outlineLevel="0" collapsed="false">
      <c r="A1433" s="4" t="n">
        <v>29</v>
      </c>
      <c r="B1433" s="4" t="n">
        <v>142</v>
      </c>
      <c r="C1433" s="4" t="n">
        <v>215</v>
      </c>
      <c r="D1433" s="4" t="n">
        <v>198</v>
      </c>
      <c r="E1433" s="6" t="n">
        <v>13.96537484408</v>
      </c>
      <c r="F1433" s="6" t="n">
        <f aca="false">D1433+E1433</f>
        <v>211.96537484408</v>
      </c>
      <c r="G1433" s="6" t="n">
        <f aca="false">F1433-C1433</f>
        <v>-3.03462515592</v>
      </c>
      <c r="H1433" s="4" t="str">
        <f aca="false">IF(G1433&gt;2,"LATE",IF(G1433&lt;-13,"EARLY","IN"))</f>
        <v>IN</v>
      </c>
      <c r="I1433" s="4" t="n">
        <f aca="false">C1433-D1433</f>
        <v>17</v>
      </c>
    </row>
    <row r="1434" customFormat="false" ht="15" hidden="false" customHeight="false" outlineLevel="0" collapsed="false">
      <c r="A1434" s="4" t="n">
        <v>29</v>
      </c>
      <c r="B1434" s="4" t="n">
        <v>143</v>
      </c>
      <c r="C1434" s="4" t="n">
        <v>149</v>
      </c>
      <c r="D1434" s="4" t="n">
        <v>141</v>
      </c>
      <c r="E1434" s="6" t="n">
        <v>9.2890575757777</v>
      </c>
      <c r="F1434" s="6" t="n">
        <f aca="false">D1434+E1434</f>
        <v>150.289057575778</v>
      </c>
      <c r="G1434" s="6" t="n">
        <f aca="false">F1434-C1434</f>
        <v>1.28905757577769</v>
      </c>
      <c r="H1434" s="4" t="str">
        <f aca="false">IF(G1434&gt;2,"LATE",IF(G1434&lt;-13,"EARLY","IN"))</f>
        <v>IN</v>
      </c>
      <c r="I1434" s="4" t="n">
        <f aca="false">C1434-D1434</f>
        <v>8</v>
      </c>
    </row>
    <row r="1435" customFormat="false" ht="15" hidden="false" customHeight="false" outlineLevel="0" collapsed="false">
      <c r="A1435" s="4" t="n">
        <v>29</v>
      </c>
      <c r="B1435" s="4" t="n">
        <v>146</v>
      </c>
      <c r="C1435" s="4" t="n">
        <v>231</v>
      </c>
      <c r="D1435" s="4" t="n">
        <v>216</v>
      </c>
      <c r="E1435" s="6" t="n">
        <v>15.9081221621943</v>
      </c>
      <c r="F1435" s="6" t="n">
        <f aca="false">D1435+E1435</f>
        <v>231.908122162194</v>
      </c>
      <c r="G1435" s="6" t="n">
        <f aca="false">F1435-C1435</f>
        <v>0.908122162194331</v>
      </c>
      <c r="H1435" s="4" t="str">
        <f aca="false">IF(G1435&gt;2,"LATE",IF(G1435&lt;-13,"EARLY","IN"))</f>
        <v>IN</v>
      </c>
      <c r="I1435" s="4" t="n">
        <f aca="false">C1435-D1435</f>
        <v>15</v>
      </c>
    </row>
    <row r="1436" customFormat="false" ht="15" hidden="false" customHeight="false" outlineLevel="0" collapsed="false">
      <c r="A1436" s="4" t="n">
        <v>29</v>
      </c>
      <c r="B1436" s="4" t="n">
        <v>152</v>
      </c>
      <c r="C1436" s="4" t="n">
        <v>213</v>
      </c>
      <c r="D1436" s="4" t="n">
        <v>193</v>
      </c>
      <c r="E1436" s="6" t="n">
        <v>15.6275781049613</v>
      </c>
      <c r="F1436" s="6" t="n">
        <f aca="false">D1436+E1436</f>
        <v>208.627578104961</v>
      </c>
      <c r="G1436" s="6" t="n">
        <f aca="false">F1436-C1436</f>
        <v>-4.37242189503866</v>
      </c>
      <c r="H1436" s="4" t="str">
        <f aca="false">IF(G1436&gt;2,"LATE",IF(G1436&lt;-13,"EARLY","IN"))</f>
        <v>IN</v>
      </c>
      <c r="I1436" s="4" t="n">
        <f aca="false">C1436-D1436</f>
        <v>20</v>
      </c>
    </row>
    <row r="1437" customFormat="false" ht="15" hidden="false" customHeight="false" outlineLevel="0" collapsed="false">
      <c r="A1437" s="4" t="n">
        <v>29</v>
      </c>
      <c r="B1437" s="4" t="n">
        <v>153</v>
      </c>
      <c r="C1437" s="4" t="n">
        <v>277</v>
      </c>
      <c r="D1437" s="4" t="n">
        <v>252</v>
      </c>
      <c r="E1437" s="6" t="n">
        <v>16.06923717012</v>
      </c>
      <c r="F1437" s="6" t="n">
        <f aca="false">D1437+E1437</f>
        <v>268.06923717012</v>
      </c>
      <c r="G1437" s="6" t="n">
        <f aca="false">F1437-C1437</f>
        <v>-8.93076282988</v>
      </c>
      <c r="H1437" s="4" t="str">
        <f aca="false">IF(G1437&gt;2,"LATE",IF(G1437&lt;-13,"EARLY","IN"))</f>
        <v>IN</v>
      </c>
      <c r="I1437" s="4" t="n">
        <f aca="false">C1437-D1437</f>
        <v>25</v>
      </c>
    </row>
    <row r="1438" customFormat="false" ht="15" hidden="false" customHeight="false" outlineLevel="0" collapsed="false">
      <c r="A1438" s="4" t="n">
        <v>29</v>
      </c>
      <c r="B1438" s="4" t="n">
        <v>154</v>
      </c>
      <c r="C1438" s="4" t="n">
        <v>171</v>
      </c>
      <c r="D1438" s="4" t="n">
        <v>150</v>
      </c>
      <c r="E1438" s="6" t="n">
        <v>12.8007140099427</v>
      </c>
      <c r="F1438" s="6" t="n">
        <f aca="false">D1438+E1438</f>
        <v>162.800714009943</v>
      </c>
      <c r="G1438" s="6" t="n">
        <f aca="false">F1438-C1438</f>
        <v>-8.19928599005726</v>
      </c>
      <c r="H1438" s="4" t="str">
        <f aca="false">IF(G1438&gt;2,"LATE",IF(G1438&lt;-13,"EARLY","IN"))</f>
        <v>IN</v>
      </c>
      <c r="I1438" s="4" t="n">
        <f aca="false">C1438-D1438</f>
        <v>21</v>
      </c>
    </row>
    <row r="1439" customFormat="false" ht="15" hidden="false" customHeight="false" outlineLevel="0" collapsed="false">
      <c r="A1439" s="4" t="n">
        <v>29</v>
      </c>
      <c r="B1439" s="4" t="n">
        <v>155</v>
      </c>
      <c r="C1439" s="4" t="n">
        <v>221</v>
      </c>
      <c r="D1439" s="4" t="n">
        <v>203</v>
      </c>
      <c r="E1439" s="6" t="n">
        <v>12.8156711427677</v>
      </c>
      <c r="F1439" s="6" t="n">
        <f aca="false">D1439+E1439</f>
        <v>215.815671142768</v>
      </c>
      <c r="G1439" s="6" t="n">
        <f aca="false">F1439-C1439</f>
        <v>-5.18432885723229</v>
      </c>
      <c r="H1439" s="4" t="str">
        <f aca="false">IF(G1439&gt;2,"LATE",IF(G1439&lt;-13,"EARLY","IN"))</f>
        <v>IN</v>
      </c>
      <c r="I1439" s="4" t="n">
        <f aca="false">C1439-D1439</f>
        <v>18</v>
      </c>
    </row>
    <row r="1440" customFormat="false" ht="15" hidden="false" customHeight="false" outlineLevel="0" collapsed="false">
      <c r="A1440" s="4" t="n">
        <v>29</v>
      </c>
      <c r="B1440" s="4" t="n">
        <v>157</v>
      </c>
      <c r="C1440" s="4" t="n">
        <v>202</v>
      </c>
      <c r="D1440" s="4" t="n">
        <v>184</v>
      </c>
      <c r="E1440" s="6" t="n">
        <v>14.3228552713903</v>
      </c>
      <c r="F1440" s="6" t="n">
        <f aca="false">D1440+E1440</f>
        <v>198.32285527139</v>
      </c>
      <c r="G1440" s="6" t="n">
        <f aca="false">F1440-C1440</f>
        <v>-3.67714472860968</v>
      </c>
      <c r="H1440" s="4" t="str">
        <f aca="false">IF(G1440&gt;2,"LATE",IF(G1440&lt;-13,"EARLY","IN"))</f>
        <v>IN</v>
      </c>
      <c r="I1440" s="4" t="n">
        <f aca="false">C1440-D1440</f>
        <v>18</v>
      </c>
    </row>
    <row r="1441" customFormat="false" ht="15" hidden="false" customHeight="false" outlineLevel="0" collapsed="false">
      <c r="A1441" s="4" t="n">
        <v>29</v>
      </c>
      <c r="B1441" s="4" t="n">
        <v>158</v>
      </c>
      <c r="C1441" s="4" t="n">
        <v>167</v>
      </c>
      <c r="D1441" s="4" t="n">
        <v>150</v>
      </c>
      <c r="E1441" s="6" t="n">
        <v>10.8715221521625</v>
      </c>
      <c r="F1441" s="6" t="n">
        <f aca="false">D1441+E1441</f>
        <v>160.871522152163</v>
      </c>
      <c r="G1441" s="6" t="n">
        <f aca="false">F1441-C1441</f>
        <v>-6.12847784783747</v>
      </c>
      <c r="H1441" s="4" t="str">
        <f aca="false">IF(G1441&gt;2,"LATE",IF(G1441&lt;-13,"EARLY","IN"))</f>
        <v>IN</v>
      </c>
      <c r="I1441" s="4" t="n">
        <f aca="false">C1441-D1441</f>
        <v>17</v>
      </c>
    </row>
    <row r="1442" customFormat="false" ht="15" hidden="false" customHeight="false" outlineLevel="0" collapsed="false">
      <c r="A1442" s="4" t="n">
        <v>29</v>
      </c>
      <c r="B1442" s="4" t="n">
        <v>168</v>
      </c>
      <c r="C1442" s="4" t="n">
        <v>253</v>
      </c>
      <c r="D1442" s="4" t="n">
        <v>228</v>
      </c>
      <c r="E1442" s="6" t="n">
        <v>16.2593979497115</v>
      </c>
      <c r="F1442" s="6" t="n">
        <f aca="false">D1442+E1442</f>
        <v>244.259397949712</v>
      </c>
      <c r="G1442" s="6" t="n">
        <f aca="false">F1442-C1442</f>
        <v>-8.74060205028846</v>
      </c>
      <c r="H1442" s="4" t="str">
        <f aca="false">IF(G1442&gt;2,"LATE",IF(G1442&lt;-13,"EARLY","IN"))</f>
        <v>IN</v>
      </c>
      <c r="I1442" s="4" t="n">
        <f aca="false">C1442-D1442</f>
        <v>25</v>
      </c>
    </row>
    <row r="1443" customFormat="false" ht="15" hidden="false" customHeight="false" outlineLevel="0" collapsed="false">
      <c r="A1443" s="4" t="n">
        <v>29</v>
      </c>
      <c r="B1443" s="4" t="n">
        <v>172</v>
      </c>
      <c r="C1443" s="4" t="n">
        <v>222</v>
      </c>
      <c r="D1443" s="4" t="n">
        <v>206</v>
      </c>
      <c r="E1443" s="6" t="n">
        <v>18.7170088837988</v>
      </c>
      <c r="F1443" s="6" t="n">
        <f aca="false">D1443+E1443</f>
        <v>224.717008883799</v>
      </c>
      <c r="G1443" s="6" t="n">
        <f aca="false">F1443-C1443</f>
        <v>2.71700888379877</v>
      </c>
      <c r="H1443" s="4" t="str">
        <f aca="false">IF(G1443&gt;2,"LATE",IF(G1443&lt;-13,"EARLY","IN"))</f>
        <v>LATE</v>
      </c>
      <c r="I1443" s="4" t="n">
        <f aca="false">C1443-D1443</f>
        <v>16</v>
      </c>
    </row>
    <row r="1444" customFormat="false" ht="15" hidden="false" customHeight="false" outlineLevel="0" collapsed="false">
      <c r="A1444" s="4" t="n">
        <v>29</v>
      </c>
      <c r="B1444" s="4" t="n">
        <v>185</v>
      </c>
      <c r="C1444" s="4" t="n">
        <v>198</v>
      </c>
      <c r="D1444" s="4" t="n">
        <v>179</v>
      </c>
      <c r="E1444" s="6" t="n">
        <v>17.832664513928</v>
      </c>
      <c r="F1444" s="6" t="n">
        <f aca="false">D1444+E1444</f>
        <v>196.832664513928</v>
      </c>
      <c r="G1444" s="6" t="n">
        <f aca="false">F1444-C1444</f>
        <v>-1.16733548607195</v>
      </c>
      <c r="H1444" s="4" t="str">
        <f aca="false">IF(G1444&gt;2,"LATE",IF(G1444&lt;-13,"EARLY","IN"))</f>
        <v>IN</v>
      </c>
      <c r="I1444" s="4" t="n">
        <f aca="false">C1444-D1444</f>
        <v>19</v>
      </c>
    </row>
    <row r="1445" customFormat="false" ht="15" hidden="false" customHeight="false" outlineLevel="0" collapsed="false">
      <c r="A1445" s="4" t="n">
        <v>29</v>
      </c>
      <c r="B1445" s="4" t="n">
        <v>192</v>
      </c>
      <c r="C1445" s="4" t="n">
        <v>176</v>
      </c>
      <c r="D1445" s="4" t="n">
        <v>152</v>
      </c>
      <c r="E1445" s="6" t="n">
        <v>16.5674209407538</v>
      </c>
      <c r="F1445" s="6" t="n">
        <f aca="false">D1445+E1445</f>
        <v>168.567420940754</v>
      </c>
      <c r="G1445" s="6" t="n">
        <f aca="false">F1445-C1445</f>
        <v>-7.43257905924617</v>
      </c>
      <c r="H1445" s="4" t="str">
        <f aca="false">IF(G1445&gt;2,"LATE",IF(G1445&lt;-13,"EARLY","IN"))</f>
        <v>IN</v>
      </c>
      <c r="I1445" s="4" t="n">
        <f aca="false">C1445-D1445</f>
        <v>24</v>
      </c>
    </row>
    <row r="1446" customFormat="false" ht="15" hidden="false" customHeight="false" outlineLevel="0" collapsed="false">
      <c r="A1446" s="4" t="n">
        <v>29</v>
      </c>
      <c r="B1446" s="4" t="n">
        <v>195</v>
      </c>
      <c r="C1446" s="4" t="n">
        <v>284</v>
      </c>
      <c r="D1446" s="4" t="n">
        <v>264</v>
      </c>
      <c r="E1446" s="6" t="n">
        <v>18.2005118658967</v>
      </c>
      <c r="F1446" s="6" t="n">
        <f aca="false">D1446+E1446</f>
        <v>282.200511865897</v>
      </c>
      <c r="G1446" s="6" t="n">
        <f aca="false">F1446-C1446</f>
        <v>-1.79948813410334</v>
      </c>
      <c r="H1446" s="4" t="str">
        <f aca="false">IF(G1446&gt;2,"LATE",IF(G1446&lt;-13,"EARLY","IN"))</f>
        <v>IN</v>
      </c>
      <c r="I1446" s="4" t="n">
        <f aca="false">C1446-D1446</f>
        <v>20</v>
      </c>
    </row>
    <row r="1447" customFormat="false" ht="15" hidden="false" customHeight="false" outlineLevel="0" collapsed="false">
      <c r="A1447" s="4" t="n">
        <v>29</v>
      </c>
      <c r="B1447" s="4" t="n">
        <v>200</v>
      </c>
      <c r="C1447" s="4" t="n">
        <v>182</v>
      </c>
      <c r="D1447" s="4" t="n">
        <v>163</v>
      </c>
      <c r="E1447" s="6" t="n">
        <v>15.4057509558507</v>
      </c>
      <c r="F1447" s="6" t="n">
        <f aca="false">D1447+E1447</f>
        <v>178.405750955851</v>
      </c>
      <c r="G1447" s="6" t="n">
        <f aca="false">F1447-C1447</f>
        <v>-3.59424904414934</v>
      </c>
      <c r="H1447" s="4" t="str">
        <f aca="false">IF(G1447&gt;2,"LATE",IF(G1447&lt;-13,"EARLY","IN"))</f>
        <v>IN</v>
      </c>
      <c r="I1447" s="4" t="n">
        <f aca="false">C1447-D1447</f>
        <v>19</v>
      </c>
    </row>
    <row r="1448" customFormat="false" ht="15" hidden="false" customHeight="false" outlineLevel="0" collapsed="false">
      <c r="A1448" s="4" t="n">
        <v>29</v>
      </c>
      <c r="B1448" s="4" t="n">
        <v>207</v>
      </c>
      <c r="C1448" s="4" t="n">
        <v>278</v>
      </c>
      <c r="D1448" s="4" t="n">
        <v>263</v>
      </c>
      <c r="E1448" s="6" t="n">
        <v>13.1670882017589</v>
      </c>
      <c r="F1448" s="6" t="n">
        <f aca="false">D1448+E1448</f>
        <v>276.167088201759</v>
      </c>
      <c r="G1448" s="6" t="n">
        <f aca="false">F1448-C1448</f>
        <v>-1.83291179824107</v>
      </c>
      <c r="H1448" s="4" t="str">
        <f aca="false">IF(G1448&gt;2,"LATE",IF(G1448&lt;-13,"EARLY","IN"))</f>
        <v>IN</v>
      </c>
      <c r="I1448" s="4" t="n">
        <f aca="false">C1448-D1448</f>
        <v>15</v>
      </c>
    </row>
    <row r="1449" customFormat="false" ht="15" hidden="false" customHeight="false" outlineLevel="0" collapsed="false">
      <c r="A1449" s="4" t="n">
        <v>29</v>
      </c>
      <c r="B1449" s="4" t="n">
        <v>210</v>
      </c>
      <c r="C1449" s="4" t="n">
        <v>233</v>
      </c>
      <c r="D1449" s="4" t="n">
        <v>210</v>
      </c>
      <c r="E1449" s="6" t="n">
        <v>11.128010931903</v>
      </c>
      <c r="F1449" s="6" t="n">
        <f aca="false">D1449+E1449</f>
        <v>221.128010931903</v>
      </c>
      <c r="G1449" s="6" t="n">
        <f aca="false">F1449-C1449</f>
        <v>-11.871989068097</v>
      </c>
      <c r="H1449" s="4" t="str">
        <f aca="false">IF(G1449&gt;2,"LATE",IF(G1449&lt;-13,"EARLY","IN"))</f>
        <v>IN</v>
      </c>
      <c r="I1449" s="4" t="n">
        <f aca="false">C1449-D1449</f>
        <v>23</v>
      </c>
    </row>
    <row r="1450" customFormat="false" ht="15" hidden="false" customHeight="false" outlineLevel="0" collapsed="false">
      <c r="A1450" s="4" t="n">
        <v>29</v>
      </c>
      <c r="B1450" s="4" t="n">
        <v>213</v>
      </c>
      <c r="C1450" s="4" t="n">
        <v>263</v>
      </c>
      <c r="D1450" s="4" t="n">
        <v>244</v>
      </c>
      <c r="E1450" s="6" t="n">
        <v>14.5766695300121</v>
      </c>
      <c r="F1450" s="6" t="n">
        <f aca="false">D1450+E1450</f>
        <v>258.576669530012</v>
      </c>
      <c r="G1450" s="6" t="n">
        <f aca="false">F1450-C1450</f>
        <v>-4.42333046998789</v>
      </c>
      <c r="H1450" s="4" t="str">
        <f aca="false">IF(G1450&gt;2,"LATE",IF(G1450&lt;-13,"EARLY","IN"))</f>
        <v>IN</v>
      </c>
      <c r="I1450" s="4" t="n">
        <f aca="false">C1450-D1450</f>
        <v>19</v>
      </c>
    </row>
    <row r="1451" customFormat="false" ht="15" hidden="false" customHeight="false" outlineLevel="0" collapsed="false">
      <c r="A1451" s="4" t="n">
        <v>29</v>
      </c>
      <c r="B1451" s="4" t="n">
        <v>218</v>
      </c>
      <c r="C1451" s="4" t="n">
        <v>133</v>
      </c>
      <c r="D1451" s="4" t="n">
        <v>122</v>
      </c>
      <c r="E1451" s="6" t="n">
        <v>9.13108918609397</v>
      </c>
      <c r="F1451" s="6" t="n">
        <f aca="false">D1451+E1451</f>
        <v>131.131089186094</v>
      </c>
      <c r="G1451" s="6" t="n">
        <f aca="false">F1451-C1451</f>
        <v>-1.86891081390604</v>
      </c>
      <c r="H1451" s="4" t="str">
        <f aca="false">IF(G1451&gt;2,"LATE",IF(G1451&lt;-13,"EARLY","IN"))</f>
        <v>IN</v>
      </c>
      <c r="I1451" s="4" t="n">
        <f aca="false">C1451-D1451</f>
        <v>11</v>
      </c>
    </row>
    <row r="1452" customFormat="false" ht="15" hidden="false" customHeight="false" outlineLevel="0" collapsed="false">
      <c r="A1452" s="4" t="n">
        <v>30</v>
      </c>
      <c r="B1452" s="4" t="n">
        <v>3</v>
      </c>
      <c r="C1452" s="4" t="n">
        <v>150</v>
      </c>
      <c r="D1452" s="4" t="n">
        <v>139</v>
      </c>
      <c r="E1452" s="6" t="n">
        <v>11.7236516968127</v>
      </c>
      <c r="F1452" s="6" t="n">
        <f aca="false">D1452+E1452</f>
        <v>150.723651696813</v>
      </c>
      <c r="G1452" s="6" t="n">
        <f aca="false">F1452-C1452</f>
        <v>0.723651696812681</v>
      </c>
      <c r="H1452" s="4" t="str">
        <f aca="false">IF(G1452&gt;2,"LATE",IF(G1452&lt;-13,"EARLY","IN"))</f>
        <v>IN</v>
      </c>
      <c r="I1452" s="4" t="n">
        <f aca="false">C1452-D1452</f>
        <v>11</v>
      </c>
    </row>
    <row r="1453" customFormat="false" ht="15" hidden="false" customHeight="false" outlineLevel="0" collapsed="false">
      <c r="A1453" s="4" t="n">
        <v>30</v>
      </c>
      <c r="B1453" s="4" t="n">
        <v>5</v>
      </c>
      <c r="C1453" s="4" t="n">
        <v>357</v>
      </c>
      <c r="D1453" s="4" t="n">
        <v>324</v>
      </c>
      <c r="E1453" s="6" t="n">
        <v>17.929349832994</v>
      </c>
      <c r="F1453" s="6" t="n">
        <f aca="false">D1453+E1453</f>
        <v>341.929349832994</v>
      </c>
      <c r="G1453" s="6" t="n">
        <f aca="false">F1453-C1453</f>
        <v>-15.070650167006</v>
      </c>
      <c r="H1453" s="4" t="str">
        <f aca="false">IF(G1453&gt;2,"LATE",IF(G1453&lt;-13,"EARLY","IN"))</f>
        <v>EARLY</v>
      </c>
      <c r="I1453" s="4" t="n">
        <f aca="false">C1453-D1453</f>
        <v>33</v>
      </c>
    </row>
    <row r="1454" customFormat="false" ht="15" hidden="false" customHeight="false" outlineLevel="0" collapsed="false">
      <c r="A1454" s="4" t="n">
        <v>30</v>
      </c>
      <c r="B1454" s="4" t="n">
        <v>8</v>
      </c>
      <c r="C1454" s="4" t="n">
        <v>276</v>
      </c>
      <c r="D1454" s="4" t="n">
        <v>257</v>
      </c>
      <c r="E1454" s="6" t="n">
        <v>16.7033419106853</v>
      </c>
      <c r="F1454" s="6" t="n">
        <f aca="false">D1454+E1454</f>
        <v>273.703341910685</v>
      </c>
      <c r="G1454" s="6" t="n">
        <f aca="false">F1454-C1454</f>
        <v>-2.29665808931475</v>
      </c>
      <c r="H1454" s="4" t="str">
        <f aca="false">IF(G1454&gt;2,"LATE",IF(G1454&lt;-13,"EARLY","IN"))</f>
        <v>IN</v>
      </c>
      <c r="I1454" s="4" t="n">
        <f aca="false">C1454-D1454</f>
        <v>19</v>
      </c>
    </row>
    <row r="1455" customFormat="false" ht="15" hidden="false" customHeight="false" outlineLevel="0" collapsed="false">
      <c r="A1455" s="4" t="n">
        <v>30</v>
      </c>
      <c r="B1455" s="4" t="n">
        <v>14</v>
      </c>
      <c r="C1455" s="4" t="n">
        <v>147</v>
      </c>
      <c r="D1455" s="4" t="n">
        <v>131</v>
      </c>
      <c r="E1455" s="6" t="n">
        <v>11.6692079496187</v>
      </c>
      <c r="F1455" s="6" t="n">
        <f aca="false">D1455+E1455</f>
        <v>142.669207949619</v>
      </c>
      <c r="G1455" s="6" t="n">
        <f aca="false">F1455-C1455</f>
        <v>-4.33079205038135</v>
      </c>
      <c r="H1455" s="4" t="str">
        <f aca="false">IF(G1455&gt;2,"LATE",IF(G1455&lt;-13,"EARLY","IN"))</f>
        <v>IN</v>
      </c>
      <c r="I1455" s="4" t="n">
        <f aca="false">C1455-D1455</f>
        <v>16</v>
      </c>
    </row>
    <row r="1456" customFormat="false" ht="15" hidden="false" customHeight="false" outlineLevel="0" collapsed="false">
      <c r="A1456" s="4" t="n">
        <v>30</v>
      </c>
      <c r="B1456" s="4" t="n">
        <v>21</v>
      </c>
      <c r="C1456" s="4" t="n">
        <v>205</v>
      </c>
      <c r="D1456" s="4" t="n">
        <v>183</v>
      </c>
      <c r="E1456" s="6" t="n">
        <v>15.5862477746662</v>
      </c>
      <c r="F1456" s="6" t="n">
        <f aca="false">D1456+E1456</f>
        <v>198.586247774666</v>
      </c>
      <c r="G1456" s="6" t="n">
        <f aca="false">F1456-C1456</f>
        <v>-6.41375222533381</v>
      </c>
      <c r="H1456" s="4" t="str">
        <f aca="false">IF(G1456&gt;2,"LATE",IF(G1456&lt;-13,"EARLY","IN"))</f>
        <v>IN</v>
      </c>
      <c r="I1456" s="4" t="n">
        <f aca="false">C1456-D1456</f>
        <v>22</v>
      </c>
    </row>
    <row r="1457" customFormat="false" ht="15" hidden="false" customHeight="false" outlineLevel="0" collapsed="false">
      <c r="A1457" s="4" t="n">
        <v>30</v>
      </c>
      <c r="B1457" s="4" t="n">
        <v>26</v>
      </c>
      <c r="C1457" s="4" t="n">
        <v>210</v>
      </c>
      <c r="D1457" s="4" t="n">
        <v>192</v>
      </c>
      <c r="E1457" s="6" t="n">
        <v>13.7486908296197</v>
      </c>
      <c r="F1457" s="6" t="n">
        <f aca="false">D1457+E1457</f>
        <v>205.74869082962</v>
      </c>
      <c r="G1457" s="6" t="n">
        <f aca="false">F1457-C1457</f>
        <v>-4.2513091703803</v>
      </c>
      <c r="H1457" s="4" t="str">
        <f aca="false">IF(G1457&gt;2,"LATE",IF(G1457&lt;-13,"EARLY","IN"))</f>
        <v>IN</v>
      </c>
      <c r="I1457" s="4" t="n">
        <f aca="false">C1457-D1457</f>
        <v>18</v>
      </c>
    </row>
    <row r="1458" customFormat="false" ht="15" hidden="false" customHeight="false" outlineLevel="0" collapsed="false">
      <c r="A1458" s="4" t="n">
        <v>30</v>
      </c>
      <c r="B1458" s="4" t="n">
        <v>27</v>
      </c>
      <c r="C1458" s="4" t="n">
        <v>178</v>
      </c>
      <c r="D1458" s="4" t="n">
        <v>158</v>
      </c>
      <c r="E1458" s="6" t="n">
        <v>15.5157564869347</v>
      </c>
      <c r="F1458" s="6" t="n">
        <f aca="false">D1458+E1458</f>
        <v>173.515756486935</v>
      </c>
      <c r="G1458" s="6" t="n">
        <f aca="false">F1458-C1458</f>
        <v>-4.48424351306528</v>
      </c>
      <c r="H1458" s="4" t="str">
        <f aca="false">IF(G1458&gt;2,"LATE",IF(G1458&lt;-13,"EARLY","IN"))</f>
        <v>IN</v>
      </c>
      <c r="I1458" s="4" t="n">
        <f aca="false">C1458-D1458</f>
        <v>20</v>
      </c>
    </row>
    <row r="1459" customFormat="false" ht="15" hidden="false" customHeight="false" outlineLevel="0" collapsed="false">
      <c r="A1459" s="4" t="n">
        <v>30</v>
      </c>
      <c r="B1459" s="4" t="n">
        <v>30</v>
      </c>
      <c r="C1459" s="4" t="n">
        <v>200</v>
      </c>
      <c r="D1459" s="4" t="n">
        <v>179</v>
      </c>
      <c r="E1459" s="6" t="n">
        <v>17.09778657075</v>
      </c>
      <c r="F1459" s="6" t="n">
        <f aca="false">D1459+E1459</f>
        <v>196.09778657075</v>
      </c>
      <c r="G1459" s="6" t="n">
        <f aca="false">F1459-C1459</f>
        <v>-3.90221342925005</v>
      </c>
      <c r="H1459" s="4" t="str">
        <f aca="false">IF(G1459&gt;2,"LATE",IF(G1459&lt;-13,"EARLY","IN"))</f>
        <v>IN</v>
      </c>
      <c r="I1459" s="4" t="n">
        <f aca="false">C1459-D1459</f>
        <v>21</v>
      </c>
    </row>
    <row r="1460" customFormat="false" ht="15" hidden="false" customHeight="false" outlineLevel="0" collapsed="false">
      <c r="A1460" s="4" t="n">
        <v>30</v>
      </c>
      <c r="B1460" s="4" t="n">
        <v>32</v>
      </c>
      <c r="C1460" s="4" t="n">
        <v>193</v>
      </c>
      <c r="D1460" s="4" t="n">
        <v>175</v>
      </c>
      <c r="E1460" s="6" t="n">
        <v>18.0469262993871</v>
      </c>
      <c r="F1460" s="6" t="n">
        <f aca="false">D1460+E1460</f>
        <v>193.046926299387</v>
      </c>
      <c r="G1460" s="6" t="n">
        <f aca="false">F1460-C1460</f>
        <v>0.0469262993870814</v>
      </c>
      <c r="H1460" s="4" t="str">
        <f aca="false">IF(G1460&gt;2,"LATE",IF(G1460&lt;-13,"EARLY","IN"))</f>
        <v>IN</v>
      </c>
      <c r="I1460" s="4" t="n">
        <f aca="false">C1460-D1460</f>
        <v>18</v>
      </c>
    </row>
    <row r="1461" customFormat="false" ht="15" hidden="false" customHeight="false" outlineLevel="0" collapsed="false">
      <c r="A1461" s="4" t="n">
        <v>30</v>
      </c>
      <c r="B1461" s="4" t="n">
        <v>33</v>
      </c>
      <c r="C1461" s="4" t="n">
        <v>286</v>
      </c>
      <c r="D1461" s="4" t="n">
        <v>265</v>
      </c>
      <c r="E1461" s="6" t="n">
        <v>14.6799780492357</v>
      </c>
      <c r="F1461" s="6" t="n">
        <f aca="false">D1461+E1461</f>
        <v>279.679978049236</v>
      </c>
      <c r="G1461" s="6" t="n">
        <f aca="false">F1461-C1461</f>
        <v>-6.32002195076433</v>
      </c>
      <c r="H1461" s="4" t="str">
        <f aca="false">IF(G1461&gt;2,"LATE",IF(G1461&lt;-13,"EARLY","IN"))</f>
        <v>IN</v>
      </c>
      <c r="I1461" s="4" t="n">
        <f aca="false">C1461-D1461</f>
        <v>21</v>
      </c>
    </row>
    <row r="1462" customFormat="false" ht="15" hidden="false" customHeight="false" outlineLevel="0" collapsed="false">
      <c r="A1462" s="4" t="n">
        <v>30</v>
      </c>
      <c r="B1462" s="4" t="n">
        <v>36</v>
      </c>
      <c r="C1462" s="4" t="n">
        <v>147</v>
      </c>
      <c r="D1462" s="4" t="n">
        <v>126</v>
      </c>
      <c r="E1462" s="6" t="n">
        <v>15.4612344231278</v>
      </c>
      <c r="F1462" s="6" t="n">
        <f aca="false">D1462+E1462</f>
        <v>141.461234423128</v>
      </c>
      <c r="G1462" s="6" t="n">
        <f aca="false">F1462-C1462</f>
        <v>-5.53876557687218</v>
      </c>
      <c r="H1462" s="4" t="str">
        <f aca="false">IF(G1462&gt;2,"LATE",IF(G1462&lt;-13,"EARLY","IN"))</f>
        <v>IN</v>
      </c>
      <c r="I1462" s="4" t="n">
        <f aca="false">C1462-D1462</f>
        <v>21</v>
      </c>
    </row>
    <row r="1463" customFormat="false" ht="15" hidden="false" customHeight="false" outlineLevel="0" collapsed="false">
      <c r="A1463" s="4" t="n">
        <v>30</v>
      </c>
      <c r="B1463" s="4" t="n">
        <v>37</v>
      </c>
      <c r="C1463" s="4" t="n">
        <v>177</v>
      </c>
      <c r="D1463" s="4" t="n">
        <v>159</v>
      </c>
      <c r="E1463" s="6" t="n">
        <v>14.147044890719</v>
      </c>
      <c r="F1463" s="6" t="n">
        <f aca="false">D1463+E1463</f>
        <v>173.147044890719</v>
      </c>
      <c r="G1463" s="6" t="n">
        <f aca="false">F1463-C1463</f>
        <v>-3.85295510928097</v>
      </c>
      <c r="H1463" s="4" t="str">
        <f aca="false">IF(G1463&gt;2,"LATE",IF(G1463&lt;-13,"EARLY","IN"))</f>
        <v>IN</v>
      </c>
      <c r="I1463" s="4" t="n">
        <f aca="false">C1463-D1463</f>
        <v>18</v>
      </c>
    </row>
    <row r="1464" customFormat="false" ht="15" hidden="false" customHeight="false" outlineLevel="0" collapsed="false">
      <c r="A1464" s="4" t="n">
        <v>30</v>
      </c>
      <c r="B1464" s="4" t="n">
        <v>41</v>
      </c>
      <c r="C1464" s="4" t="n">
        <v>201</v>
      </c>
      <c r="D1464" s="4" t="n">
        <v>183</v>
      </c>
      <c r="E1464" s="6" t="n">
        <v>12.3822176776998</v>
      </c>
      <c r="F1464" s="6" t="n">
        <f aca="false">D1464+E1464</f>
        <v>195.3822176777</v>
      </c>
      <c r="G1464" s="6" t="n">
        <f aca="false">F1464-C1464</f>
        <v>-5.61778232230026</v>
      </c>
      <c r="H1464" s="4" t="str">
        <f aca="false">IF(G1464&gt;2,"LATE",IF(G1464&lt;-13,"EARLY","IN"))</f>
        <v>IN</v>
      </c>
      <c r="I1464" s="4" t="n">
        <f aca="false">C1464-D1464</f>
        <v>18</v>
      </c>
    </row>
    <row r="1465" customFormat="false" ht="15" hidden="false" customHeight="false" outlineLevel="0" collapsed="false">
      <c r="A1465" s="4" t="n">
        <v>30</v>
      </c>
      <c r="B1465" s="4" t="n">
        <v>47</v>
      </c>
      <c r="C1465" s="4" t="n">
        <v>227</v>
      </c>
      <c r="D1465" s="4" t="n">
        <v>208</v>
      </c>
      <c r="E1465" s="6" t="n">
        <v>13.7662838097552</v>
      </c>
      <c r="F1465" s="6" t="n">
        <f aca="false">D1465+E1465</f>
        <v>221.766283809755</v>
      </c>
      <c r="G1465" s="6" t="n">
        <f aca="false">F1465-C1465</f>
        <v>-5.23371619024485</v>
      </c>
      <c r="H1465" s="4" t="str">
        <f aca="false">IF(G1465&gt;2,"LATE",IF(G1465&lt;-13,"EARLY","IN"))</f>
        <v>IN</v>
      </c>
      <c r="I1465" s="4" t="n">
        <f aca="false">C1465-D1465</f>
        <v>19</v>
      </c>
    </row>
    <row r="1466" customFormat="false" ht="15" hidden="false" customHeight="false" outlineLevel="0" collapsed="false">
      <c r="A1466" s="4" t="n">
        <v>30</v>
      </c>
      <c r="B1466" s="4" t="n">
        <v>49</v>
      </c>
      <c r="C1466" s="4" t="n">
        <v>285</v>
      </c>
      <c r="D1466" s="4" t="n">
        <v>258</v>
      </c>
      <c r="E1466" s="6" t="n">
        <v>14.6747484002564</v>
      </c>
      <c r="F1466" s="6" t="n">
        <f aca="false">D1466+E1466</f>
        <v>272.674748400256</v>
      </c>
      <c r="G1466" s="6" t="n">
        <f aca="false">F1466-C1466</f>
        <v>-12.3252515997436</v>
      </c>
      <c r="H1466" s="4" t="str">
        <f aca="false">IF(G1466&gt;2,"LATE",IF(G1466&lt;-13,"EARLY","IN"))</f>
        <v>IN</v>
      </c>
      <c r="I1466" s="4" t="n">
        <f aca="false">C1466-D1466</f>
        <v>27</v>
      </c>
    </row>
    <row r="1467" customFormat="false" ht="15" hidden="false" customHeight="false" outlineLevel="0" collapsed="false">
      <c r="A1467" s="4" t="n">
        <v>30</v>
      </c>
      <c r="B1467" s="4" t="n">
        <v>54</v>
      </c>
      <c r="C1467" s="4" t="n">
        <v>249</v>
      </c>
      <c r="D1467" s="4" t="n">
        <v>232</v>
      </c>
      <c r="E1467" s="6" t="n">
        <v>12.8401692645043</v>
      </c>
      <c r="F1467" s="6" t="n">
        <f aca="false">D1467+E1467</f>
        <v>244.840169264504</v>
      </c>
      <c r="G1467" s="6" t="n">
        <f aca="false">F1467-C1467</f>
        <v>-4.15983073549566</v>
      </c>
      <c r="H1467" s="4" t="str">
        <f aca="false">IF(G1467&gt;2,"LATE",IF(G1467&lt;-13,"EARLY","IN"))</f>
        <v>IN</v>
      </c>
      <c r="I1467" s="4" t="n">
        <f aca="false">C1467-D1467</f>
        <v>17</v>
      </c>
    </row>
    <row r="1468" customFormat="false" ht="15" hidden="false" customHeight="false" outlineLevel="0" collapsed="false">
      <c r="A1468" s="4" t="n">
        <v>30</v>
      </c>
      <c r="B1468" s="4" t="n">
        <v>57</v>
      </c>
      <c r="C1468" s="4" t="n">
        <v>150</v>
      </c>
      <c r="D1468" s="4" t="n">
        <v>129</v>
      </c>
      <c r="E1468" s="6" t="n">
        <v>13.5681009330832</v>
      </c>
      <c r="F1468" s="6" t="n">
        <f aca="false">D1468+E1468</f>
        <v>142.568100933083</v>
      </c>
      <c r="G1468" s="6" t="n">
        <f aca="false">F1468-C1468</f>
        <v>-7.43189906691677</v>
      </c>
      <c r="H1468" s="4" t="str">
        <f aca="false">IF(G1468&gt;2,"LATE",IF(G1468&lt;-13,"EARLY","IN"))</f>
        <v>IN</v>
      </c>
      <c r="I1468" s="4" t="n">
        <f aca="false">C1468-D1468</f>
        <v>21</v>
      </c>
    </row>
    <row r="1469" customFormat="false" ht="15" hidden="false" customHeight="false" outlineLevel="0" collapsed="false">
      <c r="A1469" s="4" t="n">
        <v>30</v>
      </c>
      <c r="B1469" s="4" t="n">
        <v>58</v>
      </c>
      <c r="C1469" s="4" t="n">
        <v>147</v>
      </c>
      <c r="D1469" s="4" t="n">
        <v>132</v>
      </c>
      <c r="E1469" s="6" t="n">
        <v>13.3332152966219</v>
      </c>
      <c r="F1469" s="6" t="n">
        <f aca="false">D1469+E1469</f>
        <v>145.333215296622</v>
      </c>
      <c r="G1469" s="6" t="n">
        <f aca="false">F1469-C1469</f>
        <v>-1.66678470337811</v>
      </c>
      <c r="H1469" s="4" t="str">
        <f aca="false">IF(G1469&gt;2,"LATE",IF(G1469&lt;-13,"EARLY","IN"))</f>
        <v>IN</v>
      </c>
      <c r="I1469" s="4" t="n">
        <f aca="false">C1469-D1469</f>
        <v>15</v>
      </c>
    </row>
    <row r="1470" customFormat="false" ht="15" hidden="false" customHeight="false" outlineLevel="0" collapsed="false">
      <c r="A1470" s="4" t="n">
        <v>30</v>
      </c>
      <c r="B1470" s="4" t="n">
        <v>63</v>
      </c>
      <c r="C1470" s="4" t="n">
        <v>254</v>
      </c>
      <c r="D1470" s="4" t="n">
        <v>234</v>
      </c>
      <c r="E1470" s="6" t="n">
        <v>14.2943736560883</v>
      </c>
      <c r="F1470" s="6" t="n">
        <f aca="false">D1470+E1470</f>
        <v>248.294373656088</v>
      </c>
      <c r="G1470" s="6" t="n">
        <f aca="false">F1470-C1470</f>
        <v>-5.70562634391169</v>
      </c>
      <c r="H1470" s="4" t="str">
        <f aca="false">IF(G1470&gt;2,"LATE",IF(G1470&lt;-13,"EARLY","IN"))</f>
        <v>IN</v>
      </c>
      <c r="I1470" s="4" t="n">
        <f aca="false">C1470-D1470</f>
        <v>20</v>
      </c>
    </row>
    <row r="1471" customFormat="false" ht="15" hidden="false" customHeight="false" outlineLevel="0" collapsed="false">
      <c r="A1471" s="4" t="n">
        <v>30</v>
      </c>
      <c r="B1471" s="4" t="n">
        <v>66</v>
      </c>
      <c r="C1471" s="4" t="n">
        <v>190</v>
      </c>
      <c r="D1471" s="4" t="n">
        <v>170</v>
      </c>
      <c r="E1471" s="6" t="n">
        <v>16.082658995427</v>
      </c>
      <c r="F1471" s="6" t="n">
        <f aca="false">D1471+E1471</f>
        <v>186.082658995427</v>
      </c>
      <c r="G1471" s="6" t="n">
        <f aca="false">F1471-C1471</f>
        <v>-3.91734100457305</v>
      </c>
      <c r="H1471" s="4" t="str">
        <f aca="false">IF(G1471&gt;2,"LATE",IF(G1471&lt;-13,"EARLY","IN"))</f>
        <v>IN</v>
      </c>
      <c r="I1471" s="4" t="n">
        <f aca="false">C1471-D1471</f>
        <v>20</v>
      </c>
    </row>
    <row r="1472" customFormat="false" ht="15" hidden="false" customHeight="false" outlineLevel="0" collapsed="false">
      <c r="A1472" s="4" t="n">
        <v>30</v>
      </c>
      <c r="B1472" s="4" t="n">
        <v>70</v>
      </c>
      <c r="C1472" s="4" t="n">
        <v>175</v>
      </c>
      <c r="D1472" s="4" t="n">
        <v>158</v>
      </c>
      <c r="E1472" s="6" t="n">
        <v>14.9141585762835</v>
      </c>
      <c r="F1472" s="6" t="n">
        <f aca="false">D1472+E1472</f>
        <v>172.914158576283</v>
      </c>
      <c r="G1472" s="6" t="n">
        <f aca="false">F1472-C1472</f>
        <v>-2.08584142371655</v>
      </c>
      <c r="H1472" s="4" t="str">
        <f aca="false">IF(G1472&gt;2,"LATE",IF(G1472&lt;-13,"EARLY","IN"))</f>
        <v>IN</v>
      </c>
      <c r="I1472" s="4" t="n">
        <f aca="false">C1472-D1472</f>
        <v>17</v>
      </c>
    </row>
    <row r="1473" customFormat="false" ht="15" hidden="false" customHeight="false" outlineLevel="0" collapsed="false">
      <c r="A1473" s="4" t="n">
        <v>30</v>
      </c>
      <c r="B1473" s="4" t="n">
        <v>74</v>
      </c>
      <c r="C1473" s="4" t="n">
        <v>192</v>
      </c>
      <c r="D1473" s="4" t="n">
        <v>178</v>
      </c>
      <c r="E1473" s="6" t="n">
        <v>9.97487220841569</v>
      </c>
      <c r="F1473" s="6" t="n">
        <f aca="false">D1473+E1473</f>
        <v>187.974872208416</v>
      </c>
      <c r="G1473" s="6" t="n">
        <f aca="false">F1473-C1473</f>
        <v>-4.02512779158431</v>
      </c>
      <c r="H1473" s="4" t="str">
        <f aca="false">IF(G1473&gt;2,"LATE",IF(G1473&lt;-13,"EARLY","IN"))</f>
        <v>IN</v>
      </c>
      <c r="I1473" s="4" t="n">
        <f aca="false">C1473-D1473</f>
        <v>14</v>
      </c>
    </row>
    <row r="1474" customFormat="false" ht="15" hidden="false" customHeight="false" outlineLevel="0" collapsed="false">
      <c r="A1474" s="4" t="n">
        <v>30</v>
      </c>
      <c r="B1474" s="4" t="n">
        <v>83</v>
      </c>
      <c r="C1474" s="4" t="n">
        <v>231</v>
      </c>
      <c r="D1474" s="4" t="n">
        <v>212</v>
      </c>
      <c r="E1474" s="6" t="n">
        <v>13.7363665531498</v>
      </c>
      <c r="F1474" s="6" t="n">
        <f aca="false">D1474+E1474</f>
        <v>225.73636655315</v>
      </c>
      <c r="G1474" s="6" t="n">
        <f aca="false">F1474-C1474</f>
        <v>-5.26363344685015</v>
      </c>
      <c r="H1474" s="4" t="str">
        <f aca="false">IF(G1474&gt;2,"LATE",IF(G1474&lt;-13,"EARLY","IN"))</f>
        <v>IN</v>
      </c>
      <c r="I1474" s="4" t="n">
        <f aca="false">C1474-D1474</f>
        <v>19</v>
      </c>
    </row>
    <row r="1475" customFormat="false" ht="15" hidden="false" customHeight="false" outlineLevel="0" collapsed="false">
      <c r="A1475" s="4" t="n">
        <v>30</v>
      </c>
      <c r="B1475" s="4" t="n">
        <v>87</v>
      </c>
      <c r="C1475" s="4" t="n">
        <v>177</v>
      </c>
      <c r="D1475" s="4" t="n">
        <v>159</v>
      </c>
      <c r="E1475" s="6" t="n">
        <v>13.4320702193643</v>
      </c>
      <c r="F1475" s="6" t="n">
        <f aca="false">D1475+E1475</f>
        <v>172.432070219364</v>
      </c>
      <c r="G1475" s="6" t="n">
        <f aca="false">F1475-C1475</f>
        <v>-4.56792978063572</v>
      </c>
      <c r="H1475" s="4" t="str">
        <f aca="false">IF(G1475&gt;2,"LATE",IF(G1475&lt;-13,"EARLY","IN"))</f>
        <v>IN</v>
      </c>
      <c r="I1475" s="4" t="n">
        <f aca="false">C1475-D1475</f>
        <v>18</v>
      </c>
    </row>
    <row r="1476" customFormat="false" ht="15" hidden="false" customHeight="false" outlineLevel="0" collapsed="false">
      <c r="A1476" s="4" t="n">
        <v>30</v>
      </c>
      <c r="B1476" s="4" t="n">
        <v>91</v>
      </c>
      <c r="C1476" s="4" t="n">
        <v>199</v>
      </c>
      <c r="D1476" s="4" t="n">
        <v>180</v>
      </c>
      <c r="E1476" s="6" t="n">
        <v>17.6185074607333</v>
      </c>
      <c r="F1476" s="6" t="n">
        <f aca="false">D1476+E1476</f>
        <v>197.618507460733</v>
      </c>
      <c r="G1476" s="6" t="n">
        <f aca="false">F1476-C1476</f>
        <v>-1.3814925392667</v>
      </c>
      <c r="H1476" s="4" t="str">
        <f aca="false">IF(G1476&gt;2,"LATE",IF(G1476&lt;-13,"EARLY","IN"))</f>
        <v>IN</v>
      </c>
      <c r="I1476" s="4" t="n">
        <f aca="false">C1476-D1476</f>
        <v>19</v>
      </c>
    </row>
    <row r="1477" customFormat="false" ht="15" hidden="false" customHeight="false" outlineLevel="0" collapsed="false">
      <c r="A1477" s="4" t="n">
        <v>30</v>
      </c>
      <c r="B1477" s="4" t="n">
        <v>95</v>
      </c>
      <c r="C1477" s="4" t="n">
        <v>234</v>
      </c>
      <c r="D1477" s="4" t="n">
        <v>215</v>
      </c>
      <c r="E1477" s="6" t="n">
        <v>10.2095456836142</v>
      </c>
      <c r="F1477" s="6" t="n">
        <f aca="false">D1477+E1477</f>
        <v>225.209545683614</v>
      </c>
      <c r="G1477" s="6" t="n">
        <f aca="false">F1477-C1477</f>
        <v>-8.79045431638585</v>
      </c>
      <c r="H1477" s="4" t="str">
        <f aca="false">IF(G1477&gt;2,"LATE",IF(G1477&lt;-13,"EARLY","IN"))</f>
        <v>IN</v>
      </c>
      <c r="I1477" s="4" t="n">
        <f aca="false">C1477-D1477</f>
        <v>19</v>
      </c>
    </row>
    <row r="1478" customFormat="false" ht="15" hidden="false" customHeight="false" outlineLevel="0" collapsed="false">
      <c r="A1478" s="4" t="n">
        <v>30</v>
      </c>
      <c r="B1478" s="4" t="n">
        <v>101</v>
      </c>
      <c r="C1478" s="4" t="n">
        <v>226</v>
      </c>
      <c r="D1478" s="4" t="n">
        <v>204</v>
      </c>
      <c r="E1478" s="6" t="n">
        <v>14.6031007496407</v>
      </c>
      <c r="F1478" s="6" t="n">
        <f aca="false">D1478+E1478</f>
        <v>218.603100749641</v>
      </c>
      <c r="G1478" s="6" t="n">
        <f aca="false">F1478-C1478</f>
        <v>-7.39689925035935</v>
      </c>
      <c r="H1478" s="4" t="str">
        <f aca="false">IF(G1478&gt;2,"LATE",IF(G1478&lt;-13,"EARLY","IN"))</f>
        <v>IN</v>
      </c>
      <c r="I1478" s="4" t="n">
        <f aca="false">C1478-D1478</f>
        <v>22</v>
      </c>
    </row>
    <row r="1479" customFormat="false" ht="15" hidden="false" customHeight="false" outlineLevel="0" collapsed="false">
      <c r="A1479" s="4" t="n">
        <v>30</v>
      </c>
      <c r="B1479" s="4" t="n">
        <v>102</v>
      </c>
      <c r="C1479" s="4" t="n">
        <v>222</v>
      </c>
      <c r="D1479" s="4" t="n">
        <v>199</v>
      </c>
      <c r="E1479" s="6" t="n">
        <v>16.9418225326099</v>
      </c>
      <c r="F1479" s="6" t="n">
        <f aca="false">D1479+E1479</f>
        <v>215.94182253261</v>
      </c>
      <c r="G1479" s="6" t="n">
        <f aca="false">F1479-C1479</f>
        <v>-6.05817746739015</v>
      </c>
      <c r="H1479" s="4" t="str">
        <f aca="false">IF(G1479&gt;2,"LATE",IF(G1479&lt;-13,"EARLY","IN"))</f>
        <v>IN</v>
      </c>
      <c r="I1479" s="4" t="n">
        <f aca="false">C1479-D1479</f>
        <v>23</v>
      </c>
    </row>
    <row r="1480" customFormat="false" ht="15" hidden="false" customHeight="false" outlineLevel="0" collapsed="false">
      <c r="A1480" s="4" t="n">
        <v>30</v>
      </c>
      <c r="B1480" s="4" t="n">
        <v>106</v>
      </c>
      <c r="C1480" s="4" t="n">
        <v>189</v>
      </c>
      <c r="D1480" s="4" t="n">
        <v>173</v>
      </c>
      <c r="E1480" s="6" t="n">
        <v>11.7244866880412</v>
      </c>
      <c r="F1480" s="6" t="n">
        <f aca="false">D1480+E1480</f>
        <v>184.724486688041</v>
      </c>
      <c r="G1480" s="6" t="n">
        <f aca="false">F1480-C1480</f>
        <v>-4.2755133119588</v>
      </c>
      <c r="H1480" s="4" t="str">
        <f aca="false">IF(G1480&gt;2,"LATE",IF(G1480&lt;-13,"EARLY","IN"))</f>
        <v>IN</v>
      </c>
      <c r="I1480" s="4" t="n">
        <f aca="false">C1480-D1480</f>
        <v>16</v>
      </c>
    </row>
    <row r="1481" customFormat="false" ht="15" hidden="false" customHeight="false" outlineLevel="0" collapsed="false">
      <c r="A1481" s="4" t="n">
        <v>30</v>
      </c>
      <c r="B1481" s="4" t="n">
        <v>107</v>
      </c>
      <c r="C1481" s="4" t="n">
        <v>200</v>
      </c>
      <c r="D1481" s="4" t="n">
        <v>189</v>
      </c>
      <c r="E1481" s="6" t="n">
        <v>10.5074403791833</v>
      </c>
      <c r="F1481" s="6" t="n">
        <f aca="false">D1481+E1481</f>
        <v>199.507440379183</v>
      </c>
      <c r="G1481" s="6" t="n">
        <f aca="false">F1481-C1481</f>
        <v>-0.492559620816706</v>
      </c>
      <c r="H1481" s="4" t="str">
        <f aca="false">IF(G1481&gt;2,"LATE",IF(G1481&lt;-13,"EARLY","IN"))</f>
        <v>IN</v>
      </c>
      <c r="I1481" s="4" t="n">
        <f aca="false">C1481-D1481</f>
        <v>11</v>
      </c>
    </row>
    <row r="1482" customFormat="false" ht="15" hidden="false" customHeight="false" outlineLevel="0" collapsed="false">
      <c r="A1482" s="4" t="n">
        <v>30</v>
      </c>
      <c r="B1482" s="4" t="n">
        <v>122</v>
      </c>
      <c r="C1482" s="4" t="n">
        <v>237</v>
      </c>
      <c r="D1482" s="4" t="n">
        <v>214</v>
      </c>
      <c r="E1482" s="6" t="n">
        <v>13.8840967825188</v>
      </c>
      <c r="F1482" s="6" t="n">
        <f aca="false">D1482+E1482</f>
        <v>227.884096782519</v>
      </c>
      <c r="G1482" s="6" t="n">
        <f aca="false">F1482-C1482</f>
        <v>-9.11590321748122</v>
      </c>
      <c r="H1482" s="4" t="str">
        <f aca="false">IF(G1482&gt;2,"LATE",IF(G1482&lt;-13,"EARLY","IN"))</f>
        <v>IN</v>
      </c>
      <c r="I1482" s="4" t="n">
        <f aca="false">C1482-D1482</f>
        <v>23</v>
      </c>
    </row>
    <row r="1483" customFormat="false" ht="15" hidden="false" customHeight="false" outlineLevel="0" collapsed="false">
      <c r="A1483" s="4" t="n">
        <v>30</v>
      </c>
      <c r="B1483" s="4" t="n">
        <v>126</v>
      </c>
      <c r="C1483" s="4" t="n">
        <v>241</v>
      </c>
      <c r="D1483" s="4" t="n">
        <v>229</v>
      </c>
      <c r="E1483" s="6" t="n">
        <v>12.2237744298962</v>
      </c>
      <c r="F1483" s="6" t="n">
        <f aca="false">D1483+E1483</f>
        <v>241.223774429896</v>
      </c>
      <c r="G1483" s="6" t="n">
        <f aca="false">F1483-C1483</f>
        <v>0.223774429896196</v>
      </c>
      <c r="H1483" s="4" t="str">
        <f aca="false">IF(G1483&gt;2,"LATE",IF(G1483&lt;-13,"EARLY","IN"))</f>
        <v>IN</v>
      </c>
      <c r="I1483" s="4" t="n">
        <f aca="false">C1483-D1483</f>
        <v>12</v>
      </c>
    </row>
    <row r="1484" customFormat="false" ht="15" hidden="false" customHeight="false" outlineLevel="0" collapsed="false">
      <c r="A1484" s="4" t="n">
        <v>30</v>
      </c>
      <c r="B1484" s="4" t="n">
        <v>127</v>
      </c>
      <c r="C1484" s="4" t="n">
        <v>163</v>
      </c>
      <c r="D1484" s="4" t="n">
        <v>144</v>
      </c>
      <c r="E1484" s="6" t="n">
        <v>15.9075323698543</v>
      </c>
      <c r="F1484" s="6" t="n">
        <f aca="false">D1484+E1484</f>
        <v>159.907532369854</v>
      </c>
      <c r="G1484" s="6" t="n">
        <f aca="false">F1484-C1484</f>
        <v>-3.09246763014571</v>
      </c>
      <c r="H1484" s="4" t="str">
        <f aca="false">IF(G1484&gt;2,"LATE",IF(G1484&lt;-13,"EARLY","IN"))</f>
        <v>IN</v>
      </c>
      <c r="I1484" s="4" t="n">
        <f aca="false">C1484-D1484</f>
        <v>19</v>
      </c>
    </row>
    <row r="1485" customFormat="false" ht="15" hidden="false" customHeight="false" outlineLevel="0" collapsed="false">
      <c r="A1485" s="4" t="n">
        <v>30</v>
      </c>
      <c r="B1485" s="4" t="n">
        <v>128</v>
      </c>
      <c r="C1485" s="4" t="n">
        <v>159</v>
      </c>
      <c r="D1485" s="4" t="n">
        <v>145</v>
      </c>
      <c r="E1485" s="6" t="n">
        <v>12.5884448692888</v>
      </c>
      <c r="F1485" s="6" t="n">
        <f aca="false">D1485+E1485</f>
        <v>157.588444869289</v>
      </c>
      <c r="G1485" s="6" t="n">
        <f aca="false">F1485-C1485</f>
        <v>-1.41155513071118</v>
      </c>
      <c r="H1485" s="4" t="str">
        <f aca="false">IF(G1485&gt;2,"LATE",IF(G1485&lt;-13,"EARLY","IN"))</f>
        <v>IN</v>
      </c>
      <c r="I1485" s="4" t="n">
        <f aca="false">C1485-D1485</f>
        <v>14</v>
      </c>
    </row>
    <row r="1486" customFormat="false" ht="15" hidden="false" customHeight="false" outlineLevel="0" collapsed="false">
      <c r="A1486" s="4" t="n">
        <v>30</v>
      </c>
      <c r="B1486" s="4" t="n">
        <v>142</v>
      </c>
      <c r="C1486" s="4" t="n">
        <v>215</v>
      </c>
      <c r="D1486" s="4" t="n">
        <v>198</v>
      </c>
      <c r="E1486" s="6" t="n">
        <v>14.5303217735885</v>
      </c>
      <c r="F1486" s="6" t="n">
        <f aca="false">D1486+E1486</f>
        <v>212.530321773589</v>
      </c>
      <c r="G1486" s="6" t="n">
        <f aca="false">F1486-C1486</f>
        <v>-2.4696782264115</v>
      </c>
      <c r="H1486" s="4" t="str">
        <f aca="false">IF(G1486&gt;2,"LATE",IF(G1486&lt;-13,"EARLY","IN"))</f>
        <v>IN</v>
      </c>
      <c r="I1486" s="4" t="n">
        <f aca="false">C1486-D1486</f>
        <v>17</v>
      </c>
    </row>
    <row r="1487" customFormat="false" ht="15" hidden="false" customHeight="false" outlineLevel="0" collapsed="false">
      <c r="A1487" s="4" t="n">
        <v>30</v>
      </c>
      <c r="B1487" s="4" t="n">
        <v>143</v>
      </c>
      <c r="C1487" s="4" t="n">
        <v>149</v>
      </c>
      <c r="D1487" s="4" t="n">
        <v>141</v>
      </c>
      <c r="E1487" s="6" t="n">
        <v>11.6749283531232</v>
      </c>
      <c r="F1487" s="6" t="n">
        <f aca="false">D1487+E1487</f>
        <v>152.674928353123</v>
      </c>
      <c r="G1487" s="6" t="n">
        <f aca="false">F1487-C1487</f>
        <v>3.67492835312316</v>
      </c>
      <c r="H1487" s="4" t="str">
        <f aca="false">IF(G1487&gt;2,"LATE",IF(G1487&lt;-13,"EARLY","IN"))</f>
        <v>LATE</v>
      </c>
      <c r="I1487" s="4" t="n">
        <f aca="false">C1487-D1487</f>
        <v>8</v>
      </c>
    </row>
    <row r="1488" customFormat="false" ht="15" hidden="false" customHeight="false" outlineLevel="0" collapsed="false">
      <c r="A1488" s="4" t="n">
        <v>30</v>
      </c>
      <c r="B1488" s="4" t="n">
        <v>149</v>
      </c>
      <c r="C1488" s="4" t="n">
        <v>192</v>
      </c>
      <c r="D1488" s="4" t="n">
        <v>176</v>
      </c>
      <c r="E1488" s="6" t="n">
        <v>16.1656588245865</v>
      </c>
      <c r="F1488" s="6" t="n">
        <f aca="false">D1488+E1488</f>
        <v>192.165658824587</v>
      </c>
      <c r="G1488" s="6" t="n">
        <f aca="false">F1488-C1488</f>
        <v>0.165658824586501</v>
      </c>
      <c r="H1488" s="4" t="str">
        <f aca="false">IF(G1488&gt;2,"LATE",IF(G1488&lt;-13,"EARLY","IN"))</f>
        <v>IN</v>
      </c>
      <c r="I1488" s="4" t="n">
        <f aca="false">C1488-D1488</f>
        <v>16</v>
      </c>
    </row>
    <row r="1489" customFormat="false" ht="15" hidden="false" customHeight="false" outlineLevel="0" collapsed="false">
      <c r="A1489" s="4" t="n">
        <v>30</v>
      </c>
      <c r="B1489" s="4" t="n">
        <v>153</v>
      </c>
      <c r="C1489" s="4" t="n">
        <v>277</v>
      </c>
      <c r="D1489" s="4" t="n">
        <v>246</v>
      </c>
      <c r="E1489" s="6" t="n">
        <v>17.1215155030052</v>
      </c>
      <c r="F1489" s="6" t="n">
        <f aca="false">D1489+E1489</f>
        <v>263.121515503005</v>
      </c>
      <c r="G1489" s="6" t="n">
        <f aca="false">F1489-C1489</f>
        <v>-13.8784844969948</v>
      </c>
      <c r="H1489" s="4" t="str">
        <f aca="false">IF(G1489&gt;2,"LATE",IF(G1489&lt;-13,"EARLY","IN"))</f>
        <v>EARLY</v>
      </c>
      <c r="I1489" s="4" t="n">
        <f aca="false">C1489-D1489</f>
        <v>31</v>
      </c>
    </row>
    <row r="1490" customFormat="false" ht="15" hidden="false" customHeight="false" outlineLevel="0" collapsed="false">
      <c r="A1490" s="4" t="n">
        <v>30</v>
      </c>
      <c r="B1490" s="4" t="n">
        <v>160</v>
      </c>
      <c r="C1490" s="4" t="n">
        <v>147</v>
      </c>
      <c r="D1490" s="4" t="n">
        <v>128</v>
      </c>
      <c r="E1490" s="6" t="n">
        <v>16.142332519643</v>
      </c>
      <c r="F1490" s="6" t="n">
        <f aca="false">D1490+E1490</f>
        <v>144.142332519643</v>
      </c>
      <c r="G1490" s="6" t="n">
        <f aca="false">F1490-C1490</f>
        <v>-2.85766748035701</v>
      </c>
      <c r="H1490" s="4" t="str">
        <f aca="false">IF(G1490&gt;2,"LATE",IF(G1490&lt;-13,"EARLY","IN"))</f>
        <v>IN</v>
      </c>
      <c r="I1490" s="4" t="n">
        <f aca="false">C1490-D1490</f>
        <v>19</v>
      </c>
    </row>
    <row r="1491" customFormat="false" ht="15" hidden="false" customHeight="false" outlineLevel="0" collapsed="false">
      <c r="A1491" s="4" t="n">
        <v>30</v>
      </c>
      <c r="B1491" s="4" t="n">
        <v>162</v>
      </c>
      <c r="C1491" s="4" t="n">
        <v>202</v>
      </c>
      <c r="D1491" s="4" t="n">
        <v>188</v>
      </c>
      <c r="E1491" s="6" t="n">
        <v>17.6012608612081</v>
      </c>
      <c r="F1491" s="6" t="n">
        <f aca="false">D1491+E1491</f>
        <v>205.601260861208</v>
      </c>
      <c r="G1491" s="6" t="n">
        <f aca="false">F1491-C1491</f>
        <v>3.60126086120806</v>
      </c>
      <c r="H1491" s="4" t="str">
        <f aca="false">IF(G1491&gt;2,"LATE",IF(G1491&lt;-13,"EARLY","IN"))</f>
        <v>LATE</v>
      </c>
      <c r="I1491" s="4" t="n">
        <f aca="false">C1491-D1491</f>
        <v>14</v>
      </c>
    </row>
    <row r="1492" customFormat="false" ht="15" hidden="false" customHeight="false" outlineLevel="0" collapsed="false">
      <c r="A1492" s="4" t="n">
        <v>30</v>
      </c>
      <c r="B1492" s="4" t="n">
        <v>166</v>
      </c>
      <c r="C1492" s="4" t="n">
        <v>229</v>
      </c>
      <c r="D1492" s="4" t="n">
        <v>213</v>
      </c>
      <c r="E1492" s="6" t="n">
        <v>12.5310215853064</v>
      </c>
      <c r="F1492" s="6" t="n">
        <f aca="false">D1492+E1492</f>
        <v>225.531021585306</v>
      </c>
      <c r="G1492" s="6" t="n">
        <f aca="false">F1492-C1492</f>
        <v>-3.4689784146936</v>
      </c>
      <c r="H1492" s="4" t="str">
        <f aca="false">IF(G1492&gt;2,"LATE",IF(G1492&lt;-13,"EARLY","IN"))</f>
        <v>IN</v>
      </c>
      <c r="I1492" s="4" t="n">
        <f aca="false">C1492-D1492</f>
        <v>16</v>
      </c>
    </row>
    <row r="1493" customFormat="false" ht="15" hidden="false" customHeight="false" outlineLevel="0" collapsed="false">
      <c r="A1493" s="4" t="n">
        <v>30</v>
      </c>
      <c r="B1493" s="4" t="n">
        <v>170</v>
      </c>
      <c r="C1493" s="4" t="n">
        <v>302</v>
      </c>
      <c r="D1493" s="4" t="n">
        <v>279</v>
      </c>
      <c r="E1493" s="6" t="n">
        <v>17.5583582799388</v>
      </c>
      <c r="F1493" s="6" t="n">
        <f aca="false">D1493+E1493</f>
        <v>296.558358279939</v>
      </c>
      <c r="G1493" s="6" t="n">
        <f aca="false">F1493-C1493</f>
        <v>-5.44164172006117</v>
      </c>
      <c r="H1493" s="4" t="str">
        <f aca="false">IF(G1493&gt;2,"LATE",IF(G1493&lt;-13,"EARLY","IN"))</f>
        <v>IN</v>
      </c>
      <c r="I1493" s="4" t="n">
        <f aca="false">C1493-D1493</f>
        <v>23</v>
      </c>
    </row>
    <row r="1494" customFormat="false" ht="15" hidden="false" customHeight="false" outlineLevel="0" collapsed="false">
      <c r="A1494" s="4" t="n">
        <v>30</v>
      </c>
      <c r="B1494" s="4" t="n">
        <v>177</v>
      </c>
      <c r="C1494" s="4" t="n">
        <v>218</v>
      </c>
      <c r="D1494" s="4" t="n">
        <v>206</v>
      </c>
      <c r="E1494" s="6" t="n">
        <v>12.8503821773425</v>
      </c>
      <c r="F1494" s="6" t="n">
        <f aca="false">D1494+E1494</f>
        <v>218.850382177343</v>
      </c>
      <c r="G1494" s="6" t="n">
        <f aca="false">F1494-C1494</f>
        <v>0.85038217734251</v>
      </c>
      <c r="H1494" s="4" t="str">
        <f aca="false">IF(G1494&gt;2,"LATE",IF(G1494&lt;-13,"EARLY","IN"))</f>
        <v>IN</v>
      </c>
      <c r="I1494" s="4" t="n">
        <f aca="false">C1494-D1494</f>
        <v>12</v>
      </c>
    </row>
    <row r="1495" customFormat="false" ht="15" hidden="false" customHeight="false" outlineLevel="0" collapsed="false">
      <c r="A1495" s="4" t="n">
        <v>30</v>
      </c>
      <c r="B1495" s="4" t="n">
        <v>180</v>
      </c>
      <c r="C1495" s="4" t="n">
        <v>200</v>
      </c>
      <c r="D1495" s="4" t="n">
        <v>179</v>
      </c>
      <c r="E1495" s="6" t="n">
        <v>12.7209924656224</v>
      </c>
      <c r="F1495" s="6" t="n">
        <f aca="false">D1495+E1495</f>
        <v>191.720992465622</v>
      </c>
      <c r="G1495" s="6" t="n">
        <f aca="false">F1495-C1495</f>
        <v>-8.27900753437757</v>
      </c>
      <c r="H1495" s="4" t="str">
        <f aca="false">IF(G1495&gt;2,"LATE",IF(G1495&lt;-13,"EARLY","IN"))</f>
        <v>IN</v>
      </c>
      <c r="I1495" s="4" t="n">
        <f aca="false">C1495-D1495</f>
        <v>21</v>
      </c>
    </row>
    <row r="1496" customFormat="false" ht="15" hidden="false" customHeight="false" outlineLevel="0" collapsed="false">
      <c r="A1496" s="4" t="n">
        <v>30</v>
      </c>
      <c r="B1496" s="4" t="n">
        <v>188</v>
      </c>
      <c r="C1496" s="4" t="n">
        <v>246</v>
      </c>
      <c r="D1496" s="4" t="n">
        <v>218</v>
      </c>
      <c r="E1496" s="6" t="n">
        <v>16.4093465629962</v>
      </c>
      <c r="F1496" s="6" t="n">
        <f aca="false">D1496+E1496</f>
        <v>234.409346562996</v>
      </c>
      <c r="G1496" s="6" t="n">
        <f aca="false">F1496-C1496</f>
        <v>-11.5906534370038</v>
      </c>
      <c r="H1496" s="4" t="str">
        <f aca="false">IF(G1496&gt;2,"LATE",IF(G1496&lt;-13,"EARLY","IN"))</f>
        <v>IN</v>
      </c>
      <c r="I1496" s="4" t="n">
        <f aca="false">C1496-D1496</f>
        <v>28</v>
      </c>
    </row>
    <row r="1497" customFormat="false" ht="15" hidden="false" customHeight="false" outlineLevel="0" collapsed="false">
      <c r="A1497" s="4" t="n">
        <v>30</v>
      </c>
      <c r="B1497" s="4" t="n">
        <v>189</v>
      </c>
      <c r="C1497" s="4" t="n">
        <v>242</v>
      </c>
      <c r="D1497" s="4" t="n">
        <v>230</v>
      </c>
      <c r="E1497" s="6" t="n">
        <v>10.6801363970639</v>
      </c>
      <c r="F1497" s="6" t="n">
        <f aca="false">D1497+E1497</f>
        <v>240.680136397064</v>
      </c>
      <c r="G1497" s="6" t="n">
        <f aca="false">F1497-C1497</f>
        <v>-1.31986360293612</v>
      </c>
      <c r="H1497" s="4" t="str">
        <f aca="false">IF(G1497&gt;2,"LATE",IF(G1497&lt;-13,"EARLY","IN"))</f>
        <v>IN</v>
      </c>
      <c r="I1497" s="4" t="n">
        <f aca="false">C1497-D1497</f>
        <v>12</v>
      </c>
    </row>
    <row r="1498" customFormat="false" ht="15" hidden="false" customHeight="false" outlineLevel="0" collapsed="false">
      <c r="A1498" s="4" t="n">
        <v>30</v>
      </c>
      <c r="B1498" s="4" t="n">
        <v>190</v>
      </c>
      <c r="C1498" s="4" t="n">
        <v>152</v>
      </c>
      <c r="D1498" s="4" t="n">
        <v>135</v>
      </c>
      <c r="E1498" s="6" t="n">
        <v>11.9614887806512</v>
      </c>
      <c r="F1498" s="6" t="n">
        <f aca="false">D1498+E1498</f>
        <v>146.961488780651</v>
      </c>
      <c r="G1498" s="6" t="n">
        <f aca="false">F1498-C1498</f>
        <v>-5.03851121934881</v>
      </c>
      <c r="H1498" s="4" t="str">
        <f aca="false">IF(G1498&gt;2,"LATE",IF(G1498&lt;-13,"EARLY","IN"))</f>
        <v>IN</v>
      </c>
      <c r="I1498" s="4" t="n">
        <f aca="false">C1498-D1498</f>
        <v>17</v>
      </c>
    </row>
    <row r="1499" customFormat="false" ht="15" hidden="false" customHeight="false" outlineLevel="0" collapsed="false">
      <c r="A1499" s="4" t="n">
        <v>30</v>
      </c>
      <c r="B1499" s="4" t="n">
        <v>191</v>
      </c>
      <c r="C1499" s="4" t="n">
        <v>255</v>
      </c>
      <c r="D1499" s="4" t="n">
        <v>230</v>
      </c>
      <c r="E1499" s="6" t="n">
        <v>15.9213428397996</v>
      </c>
      <c r="F1499" s="6" t="n">
        <f aca="false">D1499+E1499</f>
        <v>245.9213428398</v>
      </c>
      <c r="G1499" s="6" t="n">
        <f aca="false">F1499-C1499</f>
        <v>-9.07865716020038</v>
      </c>
      <c r="H1499" s="4" t="str">
        <f aca="false">IF(G1499&gt;2,"LATE",IF(G1499&lt;-13,"EARLY","IN"))</f>
        <v>IN</v>
      </c>
      <c r="I1499" s="4" t="n">
        <f aca="false">C1499-D1499</f>
        <v>25</v>
      </c>
    </row>
    <row r="1500" customFormat="false" ht="15" hidden="false" customHeight="false" outlineLevel="0" collapsed="false">
      <c r="A1500" s="4" t="n">
        <v>30</v>
      </c>
      <c r="B1500" s="4" t="n">
        <v>215</v>
      </c>
      <c r="C1500" s="4" t="n">
        <v>156</v>
      </c>
      <c r="D1500" s="4" t="n">
        <v>142</v>
      </c>
      <c r="E1500" s="6" t="n">
        <v>13.26691761918</v>
      </c>
      <c r="F1500" s="6" t="n">
        <f aca="false">D1500+E1500</f>
        <v>155.26691761918</v>
      </c>
      <c r="G1500" s="6" t="n">
        <f aca="false">F1500-C1500</f>
        <v>-0.733082380820036</v>
      </c>
      <c r="H1500" s="4" t="str">
        <f aca="false">IF(G1500&gt;2,"LATE",IF(G1500&lt;-13,"EARLY","IN"))</f>
        <v>IN</v>
      </c>
      <c r="I1500" s="4" t="n">
        <f aca="false">C1500-D1500</f>
        <v>14</v>
      </c>
    </row>
    <row r="1501" customFormat="false" ht="15" hidden="false" customHeight="false" outlineLevel="0" collapsed="false">
      <c r="A1501" s="4" t="n">
        <v>30</v>
      </c>
      <c r="B1501" s="4" t="n">
        <v>217</v>
      </c>
      <c r="C1501" s="4" t="n">
        <v>287</v>
      </c>
      <c r="D1501" s="4" t="n">
        <v>256</v>
      </c>
      <c r="E1501" s="6" t="n">
        <v>17.921090372558</v>
      </c>
      <c r="F1501" s="6" t="n">
        <f aca="false">D1501+E1501</f>
        <v>273.921090372558</v>
      </c>
      <c r="G1501" s="6" t="n">
        <f aca="false">F1501-C1501</f>
        <v>-13.078909627442</v>
      </c>
      <c r="H1501" s="4" t="str">
        <f aca="false">IF(G1501&gt;2,"LATE",IF(G1501&lt;-13,"EARLY","IN"))</f>
        <v>EARLY</v>
      </c>
      <c r="I1501" s="4" t="n">
        <f aca="false">C1501-D1501</f>
        <v>31</v>
      </c>
    </row>
  </sheetData>
  <conditionalFormatting sqref="H2:H1501">
    <cfRule type="cellIs" priority="2" operator="equal" aboveAverage="0" equalAverage="0" bottom="0" percent="0" rank="0" text="" dxfId="0">
      <formula>"IN"</formula>
    </cfRule>
    <cfRule type="cellIs" priority="3" operator="notEqual" aboveAverage="0" equalAverage="0" bottom="0" percent="0" rank="0" text="" dxfId="2">
      <formula>"IN"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2026-10-01T09:11:01Z</dcterms:created>
  <dc:creator>openpyxl</dc:creator>
  <dc:description/>
  <dc:language>en-US</dc:language>
  <cp:lastModifiedBy/>
  <dcterms:modified xsi:type="dcterms:W3CDTF">2026-10-01T09:11:02Z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